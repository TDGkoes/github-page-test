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619"/>
  <workbookPr filterPrivacy="1" defaultThemeVersion="124226"/>
  <xr:revisionPtr revIDLastSave="812" documentId="11_D3B8D6EBEE217A247475B15B4761C5F6A094D6C1" xr6:coauthVersionLast="47" xr6:coauthVersionMax="47" xr10:uidLastSave="{9B17D02B-2B3D-4E8B-8F6B-D9920A96A98C}"/>
  <bookViews>
    <workbookView xWindow="-28920" yWindow="-120" windowWidth="29040" windowHeight="15720" xr2:uid="{00000000-000D-0000-FFFF-FFFF00000000}"/>
  </bookViews>
  <sheets>
    <sheet name="표지" sheetId="7" r:id="rId1"/>
    <sheet name="변경이력" sheetId="8" r:id="rId2"/>
    <sheet name="WBS(진척율)" sheetId="4" r:id="rId3"/>
    <sheet name="확인사항" sheetId="6" r:id="rId4"/>
  </sheets>
  <definedNames>
    <definedName name="_xlnm._FilterDatabase" localSheetId="2" hidden="1">'WBS(진척율)'!$E$3:$L$36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37" i="4" l="1"/>
  <c r="L36" i="4"/>
  <c r="I36" i="4"/>
  <c r="L35" i="4"/>
  <c r="I35" i="4"/>
  <c r="L34" i="4"/>
  <c r="I34" i="4"/>
  <c r="L33" i="4"/>
  <c r="I33" i="4"/>
  <c r="L32" i="4"/>
  <c r="I32" i="4"/>
  <c r="L31" i="4"/>
  <c r="I31" i="4"/>
  <c r="L30" i="4"/>
  <c r="I30" i="4"/>
  <c r="L29" i="4"/>
  <c r="I29" i="4"/>
  <c r="L28" i="4"/>
  <c r="K28" i="4"/>
  <c r="J28" i="4"/>
  <c r="I28" i="4"/>
  <c r="L27" i="4"/>
  <c r="I27" i="4"/>
  <c r="L26" i="4"/>
  <c r="I26" i="4"/>
  <c r="L25" i="4"/>
  <c r="I25" i="4"/>
  <c r="L24" i="4"/>
  <c r="I24" i="4"/>
  <c r="L23" i="4"/>
  <c r="K23" i="4"/>
  <c r="J23" i="4"/>
  <c r="I23" i="4"/>
  <c r="L22" i="4"/>
  <c r="I22" i="4"/>
  <c r="L21" i="4"/>
  <c r="I21" i="4"/>
  <c r="L20" i="4"/>
  <c r="I20" i="4"/>
  <c r="L19" i="4"/>
  <c r="K19" i="4"/>
  <c r="J19" i="4"/>
  <c r="I19" i="4"/>
  <c r="L18" i="4"/>
  <c r="I18" i="4"/>
  <c r="L17" i="4"/>
  <c r="I17" i="4"/>
  <c r="L16" i="4"/>
  <c r="I16" i="4"/>
  <c r="L15" i="4"/>
  <c r="K15" i="4"/>
  <c r="J15" i="4"/>
  <c r="I15" i="4"/>
  <c r="L14" i="4"/>
  <c r="I14" i="4"/>
  <c r="L13" i="4"/>
  <c r="I13" i="4"/>
  <c r="L12" i="4"/>
  <c r="I12" i="4"/>
  <c r="L11" i="4"/>
  <c r="I11" i="4"/>
  <c r="L10" i="4"/>
  <c r="I10" i="4"/>
  <c r="L9" i="4"/>
  <c r="I9" i="4"/>
  <c r="L8" i="4"/>
  <c r="I8" i="4"/>
  <c r="L7" i="4"/>
  <c r="I7" i="4"/>
  <c r="L6" i="4"/>
  <c r="I6" i="4"/>
  <c r="L5" i="4"/>
  <c r="I5" i="4"/>
  <c r="L4" i="4"/>
  <c r="I4" i="4"/>
  <c r="DD37" i="4" l="1"/>
  <c r="DC37" i="4"/>
  <c r="DB37" i="4"/>
  <c r="DA37" i="4"/>
  <c r="CZ37" i="4"/>
  <c r="CY37" i="4"/>
  <c r="CX37" i="4"/>
  <c r="CW37" i="4"/>
  <c r="CV37" i="4"/>
  <c r="CU37" i="4"/>
  <c r="CT37" i="4"/>
  <c r="CS37" i="4"/>
  <c r="CR37" i="4"/>
  <c r="CQ37" i="4"/>
  <c r="CP37" i="4"/>
  <c r="CO37" i="4"/>
  <c r="CN37" i="4"/>
  <c r="CM37" i="4"/>
  <c r="CL37" i="4"/>
  <c r="CK37" i="4"/>
  <c r="CJ37" i="4"/>
  <c r="CI37" i="4"/>
  <c r="CH37" i="4"/>
  <c r="CG37" i="4"/>
  <c r="CF37" i="4"/>
  <c r="CE37" i="4"/>
  <c r="CD37" i="4"/>
  <c r="CC37" i="4"/>
  <c r="CB37" i="4"/>
  <c r="CA37" i="4"/>
  <c r="BZ37" i="4"/>
  <c r="AA37" i="4"/>
  <c r="M37" i="4" l="1"/>
  <c r="N37" i="4"/>
  <c r="O37" i="4"/>
  <c r="P37" i="4"/>
  <c r="Q37" i="4"/>
  <c r="R37" i="4"/>
  <c r="S37" i="4"/>
  <c r="T37" i="4"/>
  <c r="U37" i="4"/>
  <c r="V37" i="4"/>
  <c r="W37" i="4"/>
  <c r="X37" i="4"/>
  <c r="Y37" i="4"/>
  <c r="Z37" i="4"/>
  <c r="AB37" i="4"/>
  <c r="AC37" i="4"/>
  <c r="AD37" i="4"/>
  <c r="AE37" i="4"/>
  <c r="AF37" i="4"/>
  <c r="AG37" i="4"/>
  <c r="AH37" i="4"/>
  <c r="AI37" i="4"/>
  <c r="AJ37" i="4"/>
  <c r="AK37" i="4"/>
  <c r="AL37" i="4"/>
  <c r="AM37" i="4"/>
  <c r="AN37" i="4"/>
  <c r="AO37" i="4"/>
  <c r="AP37" i="4"/>
  <c r="AQ37" i="4"/>
  <c r="AR37" i="4"/>
  <c r="AS37" i="4"/>
  <c r="AT37" i="4"/>
  <c r="AU37" i="4"/>
  <c r="AV37" i="4"/>
  <c r="AW37" i="4"/>
  <c r="AX37" i="4"/>
  <c r="AY37" i="4"/>
  <c r="AZ37" i="4"/>
  <c r="BA37" i="4"/>
  <c r="BB37" i="4"/>
  <c r="BC37" i="4"/>
  <c r="BD37" i="4"/>
  <c r="BE37" i="4"/>
  <c r="BF37" i="4"/>
  <c r="BG37" i="4"/>
  <c r="BH37" i="4"/>
  <c r="BI37" i="4"/>
  <c r="BJ37" i="4"/>
  <c r="BK37" i="4"/>
  <c r="BL37" i="4"/>
  <c r="BM37" i="4"/>
  <c r="BN37" i="4"/>
  <c r="BO37" i="4"/>
  <c r="BP37" i="4"/>
  <c r="BQ37" i="4"/>
  <c r="BR37" i="4"/>
  <c r="BS37" i="4"/>
  <c r="BT37" i="4"/>
  <c r="BU37" i="4"/>
  <c r="BV37" i="4"/>
  <c r="BW37" i="4"/>
  <c r="BX37" i="4"/>
  <c r="BY37" i="4"/>
  <c r="DD38" i="4" l="1"/>
  <c r="CR38" i="4"/>
  <c r="CF38" i="4"/>
  <c r="CB38" i="4"/>
  <c r="CZ38" i="4"/>
  <c r="CJ38" i="4"/>
  <c r="CW38" i="4"/>
  <c r="CO38" i="4"/>
  <c r="CG38" i="4"/>
  <c r="CV38" i="4"/>
  <c r="CX38" i="4"/>
  <c r="CP38" i="4"/>
  <c r="CH38" i="4"/>
  <c r="BZ38" i="4"/>
  <c r="CN38" i="4"/>
  <c r="DA38" i="4"/>
  <c r="CY38" i="4"/>
  <c r="CA38" i="4"/>
  <c r="CK38" i="4"/>
  <c r="CQ38" i="4"/>
  <c r="CE38" i="4"/>
  <c r="CC38" i="4"/>
  <c r="CU38" i="4"/>
  <c r="CD38" i="4"/>
  <c r="CI38" i="4"/>
  <c r="CL38" i="4"/>
  <c r="CS38" i="4"/>
  <c r="CT38" i="4"/>
  <c r="CM38" i="4"/>
  <c r="DB38" i="4"/>
  <c r="DC38" i="4"/>
  <c r="AA38" i="4"/>
  <c r="BC38" i="4"/>
  <c r="P38" i="4"/>
  <c r="T38" i="4"/>
  <c r="BK38" i="4"/>
  <c r="Y38" i="4"/>
  <c r="BF38" i="4"/>
  <c r="AK38" i="4"/>
  <c r="BS38" i="4"/>
  <c r="BW38" i="4"/>
  <c r="AC38" i="4"/>
  <c r="BH38" i="4"/>
  <c r="AE38" i="4"/>
  <c r="BO38" i="4"/>
  <c r="AB38" i="4"/>
  <c r="AQ38" i="4"/>
  <c r="BG38" i="4"/>
  <c r="AD38" i="4"/>
  <c r="AN38" i="4"/>
  <c r="BP38" i="4"/>
  <c r="AM38" i="4"/>
  <c r="AP38" i="4"/>
  <c r="BL38" i="4"/>
  <c r="X38" i="4"/>
  <c r="BE38" i="4"/>
  <c r="AH38" i="4"/>
  <c r="AR38" i="4"/>
  <c r="U38" i="4"/>
  <c r="M38" i="4"/>
  <c r="M39" i="4" s="1"/>
  <c r="AT38" i="4"/>
  <c r="BY38" i="4"/>
  <c r="BD38" i="4"/>
  <c r="AS38" i="4"/>
  <c r="AJ38" i="4"/>
  <c r="BJ38" i="4"/>
  <c r="Q38" i="4"/>
  <c r="R38" i="4"/>
  <c r="BR38" i="4"/>
  <c r="BX38" i="4"/>
  <c r="AV38" i="4"/>
  <c r="AO38" i="4"/>
  <c r="BQ38" i="4"/>
  <c r="W38" i="4"/>
  <c r="V38" i="4"/>
  <c r="BU38" i="4"/>
  <c r="AW38" i="4"/>
  <c r="O38" i="4"/>
  <c r="BB38" i="4"/>
  <c r="Z38" i="4"/>
  <c r="AZ38" i="4"/>
  <c r="N38" i="4"/>
  <c r="AX38" i="4"/>
  <c r="AU38" i="4"/>
  <c r="AY38" i="4"/>
  <c r="AF38" i="4"/>
  <c r="AG38" i="4"/>
  <c r="BI38" i="4"/>
  <c r="BA38" i="4"/>
  <c r="S38" i="4"/>
  <c r="BT38" i="4"/>
  <c r="AL38" i="4"/>
  <c r="BV38" i="4"/>
  <c r="AI38" i="4"/>
  <c r="BN38" i="4"/>
  <c r="BM38" i="4"/>
  <c r="N39" i="4" l="1"/>
  <c r="O39" i="4" s="1"/>
  <c r="P39" i="4" s="1"/>
  <c r="Q39" i="4" s="1"/>
  <c r="R39" i="4" s="1"/>
  <c r="S39" i="4" s="1"/>
  <c r="T39" i="4" s="1"/>
  <c r="U39" i="4" s="1"/>
  <c r="V39" i="4" s="1"/>
  <c r="W39" i="4" s="1"/>
  <c r="X39" i="4" s="1"/>
  <c r="Y39" i="4" s="1"/>
  <c r="Z39" i="4" s="1"/>
  <c r="AA39" i="4" s="1"/>
  <c r="AB39" i="4" s="1"/>
  <c r="AC39" i="4" s="1"/>
  <c r="AD39" i="4" s="1"/>
  <c r="AE39" i="4" s="1"/>
  <c r="AF39" i="4" s="1"/>
  <c r="AG39" i="4" s="1"/>
  <c r="AH39" i="4" s="1"/>
  <c r="AI39" i="4" s="1"/>
  <c r="AJ39" i="4" s="1"/>
  <c r="AK39" i="4" s="1"/>
  <c r="AL39" i="4" s="1"/>
  <c r="AM39" i="4" s="1"/>
  <c r="AN39" i="4" s="1"/>
  <c r="AO39" i="4" s="1"/>
  <c r="AP39" i="4" s="1"/>
  <c r="AQ39" i="4" s="1"/>
  <c r="AR39" i="4" s="1"/>
  <c r="AS39" i="4" s="1"/>
  <c r="AT39" i="4" s="1"/>
  <c r="AU39" i="4" s="1"/>
  <c r="AV39" i="4" s="1"/>
  <c r="AW39" i="4" s="1"/>
  <c r="AX39" i="4" s="1"/>
  <c r="AY39" i="4" s="1"/>
  <c r="AZ39" i="4" s="1"/>
  <c r="BA39" i="4" s="1"/>
  <c r="BB39" i="4" s="1"/>
  <c r="BC39" i="4" s="1"/>
  <c r="BD39" i="4" s="1"/>
  <c r="BE39" i="4" s="1"/>
  <c r="BF39" i="4" s="1"/>
  <c r="BG39" i="4" s="1"/>
  <c r="BH39" i="4" s="1"/>
  <c r="BI39" i="4" s="1"/>
  <c r="BJ39" i="4" s="1"/>
  <c r="BK39" i="4" s="1"/>
  <c r="BL39" i="4" s="1"/>
  <c r="BM39" i="4" s="1"/>
  <c r="BN39" i="4" s="1"/>
  <c r="BO39" i="4" s="1"/>
  <c r="BP39" i="4" s="1"/>
  <c r="BQ39" i="4" s="1"/>
  <c r="BR39" i="4" s="1"/>
  <c r="BS39" i="4" s="1"/>
  <c r="BT39" i="4" s="1"/>
  <c r="BU39" i="4" s="1"/>
  <c r="BV39" i="4" s="1"/>
  <c r="BW39" i="4" s="1"/>
  <c r="BX39" i="4" s="1"/>
  <c r="BY39" i="4" s="1"/>
  <c r="BZ39" i="4" s="1"/>
  <c r="CA39" i="4" s="1"/>
  <c r="CB39" i="4" s="1"/>
  <c r="CC39" i="4" s="1"/>
  <c r="CD39" i="4" s="1"/>
  <c r="CE39" i="4" s="1"/>
  <c r="CF39" i="4" s="1"/>
  <c r="CG39" i="4" s="1"/>
  <c r="CH39" i="4" s="1"/>
  <c r="CI39" i="4" s="1"/>
  <c r="CJ39" i="4" s="1"/>
  <c r="CK39" i="4" s="1"/>
  <c r="CL39" i="4" s="1"/>
  <c r="CM39" i="4" s="1"/>
  <c r="CN39" i="4" s="1"/>
  <c r="CO39" i="4" s="1"/>
  <c r="CP39" i="4" s="1"/>
  <c r="CQ39" i="4" s="1"/>
  <c r="CR39" i="4" s="1"/>
  <c r="CS39" i="4" s="1"/>
  <c r="CT39" i="4" s="1"/>
  <c r="CU39" i="4" s="1"/>
  <c r="CV39" i="4" s="1"/>
  <c r="CW39" i="4" s="1"/>
  <c r="CX39" i="4" s="1"/>
  <c r="CY39" i="4" s="1"/>
  <c r="CZ39" i="4" s="1"/>
  <c r="DA39" i="4" s="1"/>
  <c r="DB39" i="4" s="1"/>
  <c r="DC39" i="4" s="1"/>
  <c r="DD39" i="4" s="1"/>
</calcChain>
</file>

<file path=xl/sharedStrings.xml><?xml version="1.0" encoding="utf-8"?>
<sst xmlns="http://schemas.openxmlformats.org/spreadsheetml/2006/main" count="183" uniqueCount="160">
  <si>
    <t>누리제약 Microsoft 365 협업 환경 전환</t>
  </si>
  <si>
    <t>Work Breakdown Structure</t>
    <phoneticPr fontId="18" type="noConversion"/>
  </si>
  <si>
    <t>단  계</t>
    <phoneticPr fontId="18" type="noConversion"/>
  </si>
  <si>
    <t>착수</t>
  </si>
  <si>
    <t>문서명</t>
    <phoneticPr fontId="18" type="noConversion"/>
  </si>
  <si>
    <t>TD-STD-R02_WBS</t>
    <phoneticPr fontId="18" type="noConversion"/>
  </si>
  <si>
    <t>버  전</t>
    <phoneticPr fontId="18" type="noConversion"/>
  </si>
  <si>
    <t>v1.0</t>
  </si>
  <si>
    <t>작성일</t>
    <phoneticPr fontId="18" type="noConversion"/>
  </si>
  <si>
    <t>2026-10-28</t>
  </si>
  <si>
    <t>개정 이력</t>
    <phoneticPr fontId="5" type="noConversion"/>
  </si>
  <si>
    <t>버전</t>
    <phoneticPr fontId="5" type="noConversion"/>
  </si>
  <si>
    <t>작성일</t>
    <phoneticPr fontId="5" type="noConversion"/>
  </si>
  <si>
    <t>변경자</t>
    <phoneticPr fontId="5" type="noConversion"/>
  </si>
  <si>
    <t>변경내용</t>
    <phoneticPr fontId="5" type="noConversion"/>
  </si>
  <si>
    <t>2026.10.28</t>
  </si>
  <si>
    <t>윤서진</t>
  </si>
  <si>
    <t>최초 작성 (샘플 데이터 – 가상 프로젝트)</t>
  </si>
  <si>
    <t>누리제약 Microsoft 365 협업 환경 전환 - [ID·메일·협업·디바이스]</t>
  </si>
  <si>
    <t>2026년 10월</t>
  </si>
  <si>
    <t>2026년 11월</t>
  </si>
  <si>
    <t>2026년 12월</t>
  </si>
  <si>
    <t>2027년 01월</t>
  </si>
  <si>
    <t>단계</t>
    <phoneticPr fontId="5" type="noConversion"/>
  </si>
  <si>
    <t>Level</t>
    <phoneticPr fontId="5" type="noConversion"/>
  </si>
  <si>
    <t>Code</t>
    <phoneticPr fontId="5" type="noConversion"/>
  </si>
  <si>
    <t>Title</t>
    <phoneticPr fontId="5" type="noConversion"/>
  </si>
  <si>
    <t>담당자</t>
    <phoneticPr fontId="5" type="noConversion"/>
  </si>
  <si>
    <t>산출물</t>
    <phoneticPr fontId="5" type="noConversion"/>
  </si>
  <si>
    <t>상태</t>
    <phoneticPr fontId="5" type="noConversion"/>
  </si>
  <si>
    <t>완료율</t>
    <phoneticPr fontId="5" type="noConversion"/>
  </si>
  <si>
    <t>시작일</t>
    <phoneticPr fontId="5" type="noConversion"/>
  </si>
  <si>
    <t>완료일</t>
    <phoneticPr fontId="5" type="noConversion"/>
  </si>
  <si>
    <t>Duration</t>
    <phoneticPr fontId="5" type="noConversion"/>
  </si>
  <si>
    <t>End</t>
    <phoneticPr fontId="5" type="noConversion"/>
  </si>
  <si>
    <t>계획</t>
  </si>
  <si>
    <t>1.1</t>
  </si>
  <si>
    <t>착수 준비 및 Kick-off 미팅</t>
  </si>
  <si>
    <t>회의록</t>
  </si>
  <si>
    <t>1.2</t>
  </si>
  <si>
    <t>수행계획서 작성</t>
  </si>
  <si>
    <t>수행계획서</t>
  </si>
  <si>
    <t>1.3</t>
  </si>
  <si>
    <t>WBS·일정 수립</t>
  </si>
  <si>
    <t>최은성</t>
  </si>
  <si>
    <t>WBS</t>
  </si>
  <si>
    <t>1.4</t>
  </si>
  <si>
    <t>산출물 정의 및 템플릿 배포</t>
  </si>
  <si>
    <t>산출물 목록</t>
  </si>
  <si>
    <t>1.5</t>
  </si>
  <si>
    <t>착수 보고</t>
  </si>
  <si>
    <t>착수보고서</t>
  </si>
  <si>
    <t>분석_설계</t>
  </si>
  <si>
    <t>2.1</t>
  </si>
  <si>
    <t>현행 협업 환경·사용자 요구 조사</t>
  </si>
  <si>
    <t>한지우</t>
  </si>
  <si>
    <t>현황분석서</t>
  </si>
  <si>
    <t>2.2</t>
  </si>
  <si>
    <t>M365 테넌트 목표 구조 설계</t>
  </si>
  <si>
    <t>아키텍처 설계서</t>
  </si>
  <si>
    <t>2.3</t>
  </si>
  <si>
    <t>ID·조건부 액세스 정책 설계</t>
  </si>
  <si>
    <t>강유나</t>
  </si>
  <si>
    <t>보안정책 설계서</t>
  </si>
  <si>
    <t>2.4</t>
  </si>
  <si>
    <t>콘텐츠 이관 범위·매핑 정의</t>
  </si>
  <si>
    <t>이주원</t>
  </si>
  <si>
    <t>이관 매핑표</t>
  </si>
  <si>
    <t>2.5</t>
  </si>
  <si>
    <t>단말 관리(Intune) 정책 설계</t>
  </si>
  <si>
    <t>오민재</t>
  </si>
  <si>
    <t>단말정책 설계서</t>
  </si>
  <si>
    <t>2.6</t>
  </si>
  <si>
    <t>설계 검토 보고 (중간보고)</t>
  </si>
  <si>
    <t>중간보고서</t>
  </si>
  <si>
    <t>구축</t>
  </si>
  <si>
    <t>3.1</t>
  </si>
  <si>
    <t>ID·보안 구성</t>
  </si>
  <si>
    <t>3.1.1</t>
  </si>
  <si>
    <t>Entra ID 그룹·역할 구성</t>
  </si>
  <si>
    <t>전유진</t>
  </si>
  <si>
    <t>구성정의서</t>
  </si>
  <si>
    <t>3.1.2</t>
  </si>
  <si>
    <t>조건부 액세스·MFA 정책 적용</t>
  </si>
  <si>
    <t>정책적용결과서</t>
  </si>
  <si>
    <t>3.1.3</t>
  </si>
  <si>
    <t>권한 검토 및 예외 절차 수립</t>
  </si>
  <si>
    <t>권한검토서</t>
  </si>
  <si>
    <t>3.2</t>
  </si>
  <si>
    <t>Exchange Online 전환</t>
  </si>
  <si>
    <t>3.2.1</t>
  </si>
  <si>
    <t>메일 흐름·보호 설정 구성</t>
  </si>
  <si>
    <t>유민재</t>
  </si>
  <si>
    <t>3.2.2</t>
  </si>
  <si>
    <t>사서함 이관 (1·2차)</t>
  </si>
  <si>
    <t>이관결과서</t>
  </si>
  <si>
    <t>3.2.3</t>
  </si>
  <si>
    <t>전환 후 메일 송수신 테스트</t>
  </si>
  <si>
    <t>테스트결과서</t>
  </si>
  <si>
    <t>3.3</t>
  </si>
  <si>
    <t>Teams·SharePoint 구축</t>
  </si>
  <si>
    <t>3.3.1</t>
  </si>
  <si>
    <t>팀·사이트 구조 및 권한 구성</t>
  </si>
  <si>
    <t>김하윤</t>
  </si>
  <si>
    <t>사이트구조 정의서</t>
  </si>
  <si>
    <t>3.3.2</t>
  </si>
  <si>
    <t>공유·외부 협업 정책 구성</t>
  </si>
  <si>
    <t>정책정의서</t>
  </si>
  <si>
    <t>3.3.3</t>
  </si>
  <si>
    <t>파일서버 콘텐츠 이관</t>
  </si>
  <si>
    <t>3.3.4</t>
  </si>
  <si>
    <t>보존·수명주기 정책 적용</t>
  </si>
  <si>
    <t>3.4</t>
  </si>
  <si>
    <t>디바이스 관리 및 업무 자동화</t>
  </si>
  <si>
    <t>3.4.1</t>
  </si>
  <si>
    <t>Intune 단말 등록·구성 프로필 적용</t>
  </si>
  <si>
    <t>백지훈</t>
  </si>
  <si>
    <t>3.4.2</t>
  </si>
  <si>
    <t>앱 배포·준수 정책 구성</t>
  </si>
  <si>
    <t>3.4.3</t>
  </si>
  <si>
    <t>파일럿 단말 검증 (30대)</t>
  </si>
  <si>
    <t>신다은</t>
  </si>
  <si>
    <t>파일럿결과서</t>
  </si>
  <si>
    <t>3.4.4</t>
  </si>
  <si>
    <t>Power Automate 결재 흐름 구성</t>
  </si>
  <si>
    <t>송이안</t>
  </si>
  <si>
    <t>안정화_종료</t>
  </si>
  <si>
    <t>4.1</t>
  </si>
  <si>
    <t>사용자 교육 및 전환 안내</t>
  </si>
  <si>
    <t>남도윤·임채원</t>
  </si>
  <si>
    <t>교육결과서</t>
  </si>
  <si>
    <t>4.2</t>
  </si>
  <si>
    <t>헬프데스크 지식·운영 인수인계</t>
  </si>
  <si>
    <t>권서현</t>
  </si>
  <si>
    <t>운영매뉴얼</t>
  </si>
  <si>
    <t>4.3</t>
  </si>
  <si>
    <t>최종 산출물 정리 및 제출</t>
  </si>
  <si>
    <t>산출물 일체</t>
  </si>
  <si>
    <t>4.4</t>
  </si>
  <si>
    <t>완료 보고</t>
  </si>
  <si>
    <t>완료보고서</t>
  </si>
  <si>
    <t>SUM</t>
    <phoneticPr fontId="5" type="noConversion"/>
  </si>
  <si>
    <t>단위진척율</t>
    <phoneticPr fontId="5" type="noConversion"/>
  </si>
  <si>
    <t>전체진척율</t>
    <phoneticPr fontId="5" type="noConversion"/>
  </si>
  <si>
    <t>No.</t>
    <phoneticPr fontId="5" type="noConversion"/>
  </si>
  <si>
    <t>작업</t>
    <phoneticPr fontId="5" type="noConversion"/>
  </si>
  <si>
    <t>상세</t>
    <phoneticPr fontId="5" type="noConversion"/>
  </si>
  <si>
    <t>비고</t>
    <phoneticPr fontId="5" type="noConversion"/>
  </si>
  <si>
    <t>라이선스 확보</t>
  </si>
  <si>
    <t>M365 E3 라이선스 수량 및 할당 일정 확인</t>
  </si>
  <si>
    <t>고객사 구매팀</t>
  </si>
  <si>
    <t>파일서버 범위 확정</t>
  </si>
  <si>
    <t>이관 대상 부서 폴더 및 용량 확정</t>
  </si>
  <si>
    <t>3.3.3 연계</t>
  </si>
  <si>
    <t>사서함 이관 공지</t>
  </si>
  <si>
    <t>1·2차 이관 대상자 사전 공지 일정 협의</t>
  </si>
  <si>
    <t>3.2.2 연계</t>
  </si>
  <si>
    <t>파일럿 대상 선정</t>
  </si>
  <si>
    <t>Intune 파일럿 단말 30대 사용자 선정</t>
  </si>
  <si>
    <t>3.4.3 연계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</si>
</sst>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mm&quot;월&quot;\ dd&quot;일&quot;"/>
    <numFmt numFmtId="177" formatCode="0.0%"/>
  </numFmts>
  <fonts count="28">
    <font>
      <sz val="11"/>
      <color theme="1"/>
      <name val="맑은 고딕"/>
      <family val="2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b/>
      <sz val="10"/>
      <color theme="0"/>
      <name val="맑은 고딕"/>
      <family val="3"/>
      <charset val="129"/>
      <scheme val="minor"/>
    </font>
    <font>
      <b/>
      <sz val="10"/>
      <color rgb="FF0070C0"/>
      <name val="맑은 고딕"/>
      <family val="3"/>
      <charset val="129"/>
      <scheme val="minor"/>
    </font>
    <font>
      <b/>
      <sz val="10"/>
      <color rgb="FFFF0000"/>
      <name val="맑은 고딕"/>
      <family val="3"/>
      <charset val="129"/>
      <scheme val="minor"/>
    </font>
    <font>
      <sz val="11"/>
      <color theme="1"/>
      <name val="맑은 고딕"/>
      <family val="2"/>
      <scheme val="minor"/>
    </font>
    <font>
      <sz val="10"/>
      <color rgb="FFFF0000"/>
      <name val="맑은 고딕"/>
      <family val="3"/>
      <charset val="129"/>
      <scheme val="minor"/>
    </font>
    <font>
      <b/>
      <sz val="18"/>
      <color theme="3"/>
      <name val="HY헤드라인M"/>
      <family val="1"/>
      <charset val="129"/>
    </font>
    <font>
      <sz val="8"/>
      <color theme="1"/>
      <name val="맑은 고딕"/>
      <family val="3"/>
      <charset val="129"/>
      <scheme val="minor"/>
    </font>
    <font>
      <b/>
      <sz val="11"/>
      <color theme="0"/>
      <name val="맑은 고딕"/>
      <family val="3"/>
      <charset val="129"/>
      <scheme val="minor"/>
    </font>
    <font>
      <b/>
      <sz val="10"/>
      <color theme="1" tint="0.34998626667073579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sz val="14"/>
      <color theme="1"/>
      <name val="맑은 고딕"/>
      <family val="3"/>
      <charset val="129"/>
      <scheme val="minor"/>
    </font>
    <font>
      <b/>
      <sz val="48"/>
      <color theme="1"/>
      <name val="맑은 고딕"/>
      <family val="3"/>
      <charset val="129"/>
      <scheme val="minor"/>
    </font>
    <font>
      <b/>
      <sz val="20"/>
      <color theme="1"/>
      <name val="맑은 고딕"/>
      <family val="3"/>
      <charset val="129"/>
      <scheme val="minor"/>
    </font>
    <font>
      <b/>
      <sz val="11"/>
      <color theme="1"/>
      <name val="맑은 고딕"/>
      <family val="2"/>
      <scheme val="minor"/>
    </font>
    <font>
      <sz val="8"/>
      <color rgb="FFFFFFFF"/>
      <name val="맑은 고딕"/>
      <family val="2"/>
      <scheme val="minor"/>
    </font>
    <font>
      <sz val="8"/>
      <color rgb="FFFFFFFF"/>
      <name val="맑은 고딕"/>
      <family val="3"/>
      <charset val="129"/>
      <scheme val="minor"/>
    </font>
    <font>
      <b/>
      <sz val="10"/>
      <color rgb="FFC00000"/>
      <name val="맑은 고딕"/>
      <family val="3"/>
      <charset val="129"/>
      <scheme val="minor"/>
    </font>
    <font>
      <sz val="8"/>
      <color rgb="FF76923C"/>
      <name val="맑은 고딕"/>
      <family val="3"/>
      <charset val="129"/>
      <scheme val="minor"/>
    </font>
    <font>
      <sz val="8"/>
      <color rgb="FF9BBB59"/>
      <name val="맑은 고딕"/>
      <family val="3"/>
      <charset val="129"/>
      <scheme val="minor"/>
    </font>
  </fonts>
  <fills count="19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1" tint="0.14999847407452621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1" tint="0.499984740745262"/>
        <bgColor auto="1"/>
      </patternFill>
    </fill>
    <fill>
      <patternFill patternType="solid">
        <fgColor theme="0"/>
        <bgColor indexed="64"/>
      </patternFill>
    </fill>
    <fill>
      <patternFill patternType="solid">
        <fgColor rgb="FF80808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DCE6F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76923C"/>
        <bgColor indexed="64"/>
      </patternFill>
    </fill>
    <fill>
      <patternFill patternType="solid">
        <fgColor rgb="FF9BBB59"/>
        <bgColor indexed="64"/>
      </patternFill>
    </fill>
  </fills>
  <borders count="7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ck">
        <color indexed="64"/>
      </left>
      <right style="thick">
        <color indexed="64"/>
      </right>
      <top/>
      <bottom style="thick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ck">
        <color indexed="64"/>
      </left>
      <right/>
      <top/>
      <bottom style="thick">
        <color indexed="64"/>
      </bottom>
      <diagonal/>
    </border>
    <border>
      <left style="thin">
        <color auto="1"/>
      </left>
      <right/>
      <top style="thin">
        <color auto="1"/>
      </top>
      <bottom style="dotted">
        <color auto="1"/>
      </bottom>
      <diagonal/>
    </border>
    <border>
      <left style="thin">
        <color auto="1"/>
      </left>
      <right/>
      <top style="dotted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ck">
        <color rgb="FFFF0000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ck">
        <color rgb="FFFF0000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ck">
        <color rgb="FFFF0000"/>
      </right>
      <top/>
      <bottom style="thin">
        <color indexed="64"/>
      </bottom>
      <diagonal/>
    </border>
    <border>
      <left style="thin">
        <color indexed="64"/>
      </left>
      <right style="thick">
        <color rgb="FFFF0000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rgb="FFFF0000"/>
      </right>
      <top style="thin">
        <color indexed="64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medium">
        <color rgb="FFFF0000"/>
      </left>
      <right style="medium">
        <color rgb="FFFF0000"/>
      </right>
      <top style="medium">
        <color rgb="FFFF0000"/>
      </top>
      <bottom style="medium">
        <color rgb="FFFF0000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ck">
        <color rgb="FFFF0000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ck">
        <color rgb="FFFF0000"/>
      </right>
      <top style="hair">
        <color indexed="64"/>
      </top>
      <bottom style="thin">
        <color indexed="64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hair">
        <color auto="1"/>
      </right>
      <top style="medium">
        <color auto="1"/>
      </top>
      <bottom style="medium">
        <color auto="1"/>
      </bottom>
      <diagonal/>
    </border>
    <border>
      <left style="hair">
        <color auto="1"/>
      </left>
      <right style="hair">
        <color auto="1"/>
      </right>
      <top style="medium">
        <color auto="1"/>
      </top>
      <bottom style="medium">
        <color auto="1"/>
      </bottom>
      <diagonal/>
    </border>
    <border>
      <left style="hair">
        <color auto="1"/>
      </left>
      <right/>
      <top style="medium">
        <color auto="1"/>
      </top>
      <bottom style="medium">
        <color auto="1"/>
      </bottom>
      <diagonal/>
    </border>
    <border>
      <left/>
      <right style="hair">
        <color auto="1"/>
      </right>
      <top/>
      <bottom style="thin">
        <color auto="1"/>
      </bottom>
      <diagonal/>
    </border>
    <border>
      <left style="hair">
        <color auto="1"/>
      </left>
      <right style="hair">
        <color auto="1"/>
      </right>
      <top/>
      <bottom style="thin">
        <color auto="1"/>
      </bottom>
      <diagonal/>
    </border>
    <border>
      <left style="hair">
        <color auto="1"/>
      </left>
      <right/>
      <top/>
      <bottom style="thin">
        <color auto="1"/>
      </bottom>
      <diagonal/>
    </border>
    <border>
      <left/>
      <right style="hair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/>
      <top style="thin">
        <color auto="1"/>
      </top>
      <bottom style="thin">
        <color auto="1"/>
      </bottom>
      <diagonal/>
    </border>
    <border>
      <left/>
      <right style="hair">
        <color auto="1"/>
      </right>
      <top style="thin">
        <color auto="1"/>
      </top>
      <bottom style="medium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medium">
        <color auto="1"/>
      </bottom>
      <diagonal/>
    </border>
    <border>
      <left style="hair">
        <color auto="1"/>
      </left>
      <right/>
      <top style="thin">
        <color auto="1"/>
      </top>
      <bottom style="medium">
        <color auto="1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7">
    <xf numFmtId="0" fontId="0" fillId="0" borderId="0"/>
    <xf numFmtId="0" fontId="4" fillId="0" borderId="0">
      <alignment vertical="center"/>
    </xf>
    <xf numFmtId="0" fontId="3" fillId="0" borderId="0">
      <alignment vertical="center"/>
    </xf>
    <xf numFmtId="0" fontId="11" fillId="0" borderId="0"/>
    <xf numFmtId="0" fontId="3" fillId="0" borderId="0">
      <alignment vertical="center"/>
    </xf>
    <xf numFmtId="9" fontId="11" fillId="0" borderId="0" applyFont="0" applyFill="0" applyBorder="0" applyAlignment="0" applyProtection="0">
      <alignment vertical="center"/>
    </xf>
    <xf numFmtId="0" fontId="2" fillId="0" borderId="0">
      <alignment vertical="center"/>
    </xf>
  </cellStyleXfs>
  <cellXfs count="195">
    <xf numFmtId="0" fontId="0" fillId="0" borderId="0" xfId="0"/>
    <xf numFmtId="0" fontId="6" fillId="0" borderId="0" xfId="0" applyFont="1" applyAlignment="1">
      <alignment horizontal="center" vertical="center"/>
    </xf>
    <xf numFmtId="0" fontId="6" fillId="0" borderId="0" xfId="0" applyFont="1" applyAlignment="1">
      <alignment vertical="center"/>
    </xf>
    <xf numFmtId="0" fontId="6" fillId="0" borderId="1" xfId="0" applyFont="1" applyBorder="1" applyAlignment="1">
      <alignment horizontal="center" vertical="center"/>
    </xf>
    <xf numFmtId="0" fontId="6" fillId="0" borderId="5" xfId="0" applyFont="1" applyBorder="1" applyAlignment="1">
      <alignment vertical="center"/>
    </xf>
    <xf numFmtId="0" fontId="6" fillId="0" borderId="0" xfId="0" applyFont="1" applyAlignment="1">
      <alignment horizontal="left" vertical="center"/>
    </xf>
    <xf numFmtId="0" fontId="6" fillId="0" borderId="5" xfId="0" applyFont="1" applyBorder="1" applyAlignment="1">
      <alignment horizontal="center" vertical="center"/>
    </xf>
    <xf numFmtId="0" fontId="6" fillId="0" borderId="4" xfId="0" applyFont="1" applyBorder="1" applyAlignment="1">
      <alignment vertical="center"/>
    </xf>
    <xf numFmtId="0" fontId="6" fillId="0" borderId="4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8" fillId="3" borderId="11" xfId="0" applyFont="1" applyFill="1" applyBorder="1" applyAlignment="1">
      <alignment horizontal="center" vertical="center"/>
    </xf>
    <xf numFmtId="0" fontId="8" fillId="3" borderId="12" xfId="0" applyFont="1" applyFill="1" applyBorder="1" applyAlignment="1">
      <alignment horizontal="center" vertical="center"/>
    </xf>
    <xf numFmtId="0" fontId="8" fillId="3" borderId="6" xfId="0" applyFont="1" applyFill="1" applyBorder="1" applyAlignment="1">
      <alignment horizontal="center" vertical="center"/>
    </xf>
    <xf numFmtId="0" fontId="7" fillId="0" borderId="3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10" fillId="0" borderId="3" xfId="0" applyFont="1" applyBorder="1" applyAlignment="1">
      <alignment horizontal="center" vertical="center"/>
    </xf>
    <xf numFmtId="49" fontId="8" fillId="3" borderId="6" xfId="0" applyNumberFormat="1" applyFont="1" applyFill="1" applyBorder="1" applyAlignment="1">
      <alignment horizontal="center" vertical="center"/>
    </xf>
    <xf numFmtId="49" fontId="6" fillId="0" borderId="0" xfId="0" applyNumberFormat="1" applyFont="1" applyAlignment="1">
      <alignment horizontal="center" vertical="center"/>
    </xf>
    <xf numFmtId="49" fontId="6" fillId="0" borderId="0" xfId="0" applyNumberFormat="1" applyFont="1" applyAlignment="1">
      <alignment horizontal="left" vertical="center"/>
    </xf>
    <xf numFmtId="0" fontId="7" fillId="0" borderId="24" xfId="0" applyFont="1" applyBorder="1" applyAlignment="1">
      <alignment horizontal="center" vertical="center"/>
    </xf>
    <xf numFmtId="0" fontId="12" fillId="0" borderId="0" xfId="0" applyFont="1" applyAlignment="1">
      <alignment horizontal="left" vertical="center"/>
    </xf>
    <xf numFmtId="0" fontId="7" fillId="0" borderId="6" xfId="0" applyFont="1" applyBorder="1" applyAlignment="1">
      <alignment horizontal="center" vertical="center"/>
    </xf>
    <xf numFmtId="0" fontId="7" fillId="4" borderId="27" xfId="0" applyFont="1" applyFill="1" applyBorder="1" applyAlignment="1">
      <alignment vertical="center"/>
    </xf>
    <xf numFmtId="0" fontId="6" fillId="0" borderId="28" xfId="0" applyFont="1" applyBorder="1" applyAlignment="1">
      <alignment vertical="center"/>
    </xf>
    <xf numFmtId="0" fontId="6" fillId="0" borderId="29" xfId="0" applyFont="1" applyBorder="1" applyAlignment="1">
      <alignment vertical="center"/>
    </xf>
    <xf numFmtId="176" fontId="6" fillId="0" borderId="0" xfId="0" applyNumberFormat="1" applyFont="1" applyAlignment="1">
      <alignment horizontal="center" vertical="center"/>
    </xf>
    <xf numFmtId="10" fontId="14" fillId="0" borderId="30" xfId="5" applyNumberFormat="1" applyFont="1" applyFill="1" applyBorder="1" applyAlignment="1">
      <alignment vertical="center"/>
    </xf>
    <xf numFmtId="10" fontId="14" fillId="0" borderId="31" xfId="0" applyNumberFormat="1" applyFont="1" applyBorder="1" applyAlignment="1">
      <alignment vertical="center"/>
    </xf>
    <xf numFmtId="0" fontId="2" fillId="0" borderId="0" xfId="6">
      <alignment vertical="center"/>
    </xf>
    <xf numFmtId="0" fontId="0" fillId="0" borderId="0" xfId="0" applyAlignment="1">
      <alignment vertical="center"/>
    </xf>
    <xf numFmtId="0" fontId="0" fillId="0" borderId="16" xfId="0" applyBorder="1" applyAlignment="1">
      <alignment vertical="center"/>
    </xf>
    <xf numFmtId="0" fontId="1" fillId="0" borderId="1" xfId="6" applyFont="1" applyBorder="1">
      <alignment vertical="center"/>
    </xf>
    <xf numFmtId="0" fontId="1" fillId="0" borderId="1" xfId="6" applyFont="1" applyBorder="1" applyAlignment="1">
      <alignment vertical="center" wrapText="1"/>
    </xf>
    <xf numFmtId="0" fontId="0" fillId="0" borderId="37" xfId="0" applyBorder="1" applyAlignment="1">
      <alignment vertical="center"/>
    </xf>
    <xf numFmtId="0" fontId="0" fillId="0" borderId="1" xfId="0" applyBorder="1" applyAlignment="1">
      <alignment vertical="center"/>
    </xf>
    <xf numFmtId="0" fontId="0" fillId="0" borderId="1" xfId="0" applyBorder="1" applyAlignment="1">
      <alignment vertical="center" wrapText="1"/>
    </xf>
    <xf numFmtId="0" fontId="0" fillId="0" borderId="17" xfId="0" applyBorder="1" applyAlignment="1">
      <alignment vertical="center"/>
    </xf>
    <xf numFmtId="0" fontId="1" fillId="0" borderId="5" xfId="6" applyFont="1" applyBorder="1">
      <alignment vertical="center"/>
    </xf>
    <xf numFmtId="0" fontId="1" fillId="0" borderId="5" xfId="6" applyFont="1" applyBorder="1" applyAlignment="1">
      <alignment vertical="center" wrapText="1"/>
    </xf>
    <xf numFmtId="0" fontId="0" fillId="0" borderId="38" xfId="0" applyBorder="1" applyAlignment="1">
      <alignment vertical="center"/>
    </xf>
    <xf numFmtId="0" fontId="0" fillId="0" borderId="18" xfId="0" applyBorder="1" applyAlignment="1">
      <alignment vertical="center"/>
    </xf>
    <xf numFmtId="0" fontId="1" fillId="0" borderId="4" xfId="6" applyFont="1" applyBorder="1" applyAlignment="1">
      <alignment vertical="center" wrapText="1"/>
    </xf>
    <xf numFmtId="0" fontId="15" fillId="6" borderId="20" xfId="0" applyFont="1" applyFill="1" applyBorder="1" applyAlignment="1">
      <alignment horizontal="center" vertical="center"/>
    </xf>
    <xf numFmtId="0" fontId="15" fillId="6" borderId="40" xfId="0" applyFont="1" applyFill="1" applyBorder="1" applyAlignment="1">
      <alignment horizontal="center" vertical="center"/>
    </xf>
    <xf numFmtId="0" fontId="15" fillId="6" borderId="13" xfId="0" applyFont="1" applyFill="1" applyBorder="1" applyAlignment="1">
      <alignment horizontal="center" vertical="center"/>
    </xf>
    <xf numFmtId="10" fontId="14" fillId="0" borderId="41" xfId="0" applyNumberFormat="1" applyFont="1" applyBorder="1" applyAlignment="1">
      <alignment vertical="center"/>
    </xf>
    <xf numFmtId="10" fontId="14" fillId="0" borderId="42" xfId="0" applyNumberFormat="1" applyFont="1" applyBorder="1" applyAlignment="1">
      <alignment vertical="center"/>
    </xf>
    <xf numFmtId="10" fontId="14" fillId="0" borderId="2" xfId="5" applyNumberFormat="1" applyFont="1" applyFill="1" applyBorder="1" applyAlignment="1">
      <alignment vertical="center"/>
    </xf>
    <xf numFmtId="10" fontId="14" fillId="4" borderId="43" xfId="0" applyNumberFormat="1" applyFont="1" applyFill="1" applyBorder="1" applyAlignment="1">
      <alignment vertical="center"/>
    </xf>
    <xf numFmtId="0" fontId="7" fillId="5" borderId="14" xfId="0" applyFont="1" applyFill="1" applyBorder="1" applyAlignment="1">
      <alignment horizontal="center" vertical="center"/>
    </xf>
    <xf numFmtId="0" fontId="6" fillId="0" borderId="32" xfId="0" applyFont="1" applyBorder="1" applyAlignment="1">
      <alignment vertical="center"/>
    </xf>
    <xf numFmtId="0" fontId="6" fillId="0" borderId="21" xfId="0" applyFont="1" applyBorder="1" applyAlignment="1">
      <alignment vertical="center"/>
    </xf>
    <xf numFmtId="0" fontId="6" fillId="0" borderId="44" xfId="0" applyFont="1" applyBorder="1" applyAlignment="1">
      <alignment vertical="center"/>
    </xf>
    <xf numFmtId="0" fontId="6" fillId="0" borderId="23" xfId="0" applyFont="1" applyBorder="1" applyAlignment="1">
      <alignment vertical="center"/>
    </xf>
    <xf numFmtId="0" fontId="6" fillId="0" borderId="26" xfId="0" applyFont="1" applyBorder="1" applyAlignment="1">
      <alignment vertical="center"/>
    </xf>
    <xf numFmtId="0" fontId="6" fillId="0" borderId="22" xfId="0" applyFont="1" applyBorder="1" applyAlignment="1">
      <alignment vertical="center"/>
    </xf>
    <xf numFmtId="0" fontId="6" fillId="0" borderId="25" xfId="0" applyFont="1" applyBorder="1" applyAlignment="1">
      <alignment vertical="center"/>
    </xf>
    <xf numFmtId="0" fontId="7" fillId="0" borderId="21" xfId="0" applyFont="1" applyBorder="1" applyAlignment="1">
      <alignment horizontal="center" vertical="center"/>
    </xf>
    <xf numFmtId="0" fontId="6" fillId="0" borderId="45" xfId="0" applyFont="1" applyBorder="1" applyAlignment="1">
      <alignment vertical="center"/>
    </xf>
    <xf numFmtId="0" fontId="10" fillId="0" borderId="6" xfId="0" applyFont="1" applyBorder="1" applyAlignment="1">
      <alignment horizontal="center" vertical="center"/>
    </xf>
    <xf numFmtId="0" fontId="6" fillId="7" borderId="4" xfId="0" applyFont="1" applyFill="1" applyBorder="1" applyAlignment="1">
      <alignment vertical="center"/>
    </xf>
    <xf numFmtId="10" fontId="14" fillId="7" borderId="30" xfId="5" applyNumberFormat="1" applyFont="1" applyFill="1" applyBorder="1" applyAlignment="1">
      <alignment vertical="center"/>
    </xf>
    <xf numFmtId="177" fontId="14" fillId="7" borderId="31" xfId="0" applyNumberFormat="1" applyFont="1" applyFill="1" applyBorder="1" applyAlignment="1">
      <alignment vertical="center"/>
    </xf>
    <xf numFmtId="10" fontId="14" fillId="0" borderId="46" xfId="5" applyNumberFormat="1" applyFont="1" applyFill="1" applyBorder="1" applyAlignment="1">
      <alignment vertical="center"/>
    </xf>
    <xf numFmtId="177" fontId="14" fillId="0" borderId="47" xfId="0" applyNumberFormat="1" applyFont="1" applyBorder="1" applyAlignment="1">
      <alignment vertical="center"/>
    </xf>
    <xf numFmtId="0" fontId="6" fillId="9" borderId="0" xfId="0" applyFont="1" applyFill="1" applyAlignment="1">
      <alignment vertical="center"/>
    </xf>
    <xf numFmtId="0" fontId="16" fillId="9" borderId="0" xfId="0" applyFont="1" applyFill="1" applyAlignment="1">
      <alignment vertical="center"/>
    </xf>
    <xf numFmtId="0" fontId="7" fillId="9" borderId="0" xfId="0" applyFont="1" applyFill="1" applyAlignment="1">
      <alignment vertical="center"/>
    </xf>
    <xf numFmtId="0" fontId="7" fillId="9" borderId="0" xfId="0" applyFont="1" applyFill="1" applyAlignment="1">
      <alignment horizontal="left" vertical="center"/>
    </xf>
    <xf numFmtId="0" fontId="7" fillId="13" borderId="50" xfId="0" applyFont="1" applyFill="1" applyBorder="1" applyAlignment="1">
      <alignment horizontal="center" vertical="center"/>
    </xf>
    <xf numFmtId="0" fontId="7" fillId="13" borderId="51" xfId="0" applyFont="1" applyFill="1" applyBorder="1" applyAlignment="1">
      <alignment horizontal="center" vertical="center"/>
    </xf>
    <xf numFmtId="0" fontId="7" fillId="13" borderId="52" xfId="0" applyFont="1" applyFill="1" applyBorder="1" applyAlignment="1">
      <alignment horizontal="center" vertical="center"/>
    </xf>
    <xf numFmtId="0" fontId="6" fillId="0" borderId="53" xfId="0" applyFont="1" applyBorder="1" applyAlignment="1">
      <alignment horizontal="center" vertical="center"/>
    </xf>
    <xf numFmtId="0" fontId="6" fillId="0" borderId="54" xfId="0" applyFont="1" applyBorder="1" applyAlignment="1">
      <alignment horizontal="center" vertical="center"/>
    </xf>
    <xf numFmtId="0" fontId="6" fillId="0" borderId="55" xfId="0" applyFont="1" applyBorder="1" applyAlignment="1">
      <alignment vertical="center"/>
    </xf>
    <xf numFmtId="0" fontId="6" fillId="0" borderId="56" xfId="0" applyFont="1" applyBorder="1" applyAlignment="1">
      <alignment horizontal="center" vertical="center"/>
    </xf>
    <xf numFmtId="0" fontId="6" fillId="0" borderId="57" xfId="0" applyFont="1" applyBorder="1" applyAlignment="1">
      <alignment horizontal="center" vertical="center"/>
    </xf>
    <xf numFmtId="0" fontId="6" fillId="0" borderId="58" xfId="0" applyFont="1" applyBorder="1" applyAlignment="1">
      <alignment vertical="center"/>
    </xf>
    <xf numFmtId="0" fontId="6" fillId="0" borderId="59" xfId="0" applyFont="1" applyBorder="1" applyAlignment="1">
      <alignment horizontal="center" vertical="center"/>
    </xf>
    <xf numFmtId="0" fontId="6" fillId="0" borderId="60" xfId="0" applyFont="1" applyBorder="1" applyAlignment="1">
      <alignment horizontal="center" vertical="center"/>
    </xf>
    <xf numFmtId="0" fontId="6" fillId="0" borderId="61" xfId="0" applyFont="1" applyBorder="1" applyAlignment="1">
      <alignment vertical="center"/>
    </xf>
    <xf numFmtId="0" fontId="7" fillId="14" borderId="7" xfId="0" applyFont="1" applyFill="1" applyBorder="1" applyAlignment="1">
      <alignment horizontal="left" vertical="center"/>
    </xf>
    <xf numFmtId="0" fontId="7" fillId="14" borderId="7" xfId="0" applyFont="1" applyFill="1" applyBorder="1" applyAlignment="1">
      <alignment horizontal="center" vertical="center"/>
    </xf>
    <xf numFmtId="14" fontId="7" fillId="14" borderId="7" xfId="0" applyNumberFormat="1" applyFont="1" applyFill="1" applyBorder="1" applyAlignment="1">
      <alignment horizontal="center" vertical="center"/>
    </xf>
    <xf numFmtId="0" fontId="7" fillId="14" borderId="4" xfId="0" applyFont="1" applyFill="1" applyBorder="1" applyAlignment="1">
      <alignment horizontal="left" vertical="center"/>
    </xf>
    <xf numFmtId="0" fontId="7" fillId="14" borderId="1" xfId="0" applyFont="1" applyFill="1" applyBorder="1" applyAlignment="1">
      <alignment horizontal="center" vertical="center"/>
    </xf>
    <xf numFmtId="14" fontId="7" fillId="14" borderId="1" xfId="0" applyNumberFormat="1" applyFont="1" applyFill="1" applyBorder="1" applyAlignment="1">
      <alignment horizontal="center" vertical="center"/>
    </xf>
    <xf numFmtId="0" fontId="7" fillId="14" borderId="5" xfId="0" applyFont="1" applyFill="1" applyBorder="1" applyAlignment="1">
      <alignment horizontal="left" vertical="center"/>
    </xf>
    <xf numFmtId="0" fontId="7" fillId="14" borderId="5" xfId="0" applyFont="1" applyFill="1" applyBorder="1" applyAlignment="1">
      <alignment horizontal="center" vertical="center"/>
    </xf>
    <xf numFmtId="14" fontId="7" fillId="14" borderId="5" xfId="0" applyNumberFormat="1" applyFont="1" applyFill="1" applyBorder="1" applyAlignment="1">
      <alignment horizontal="center" vertical="center"/>
    </xf>
    <xf numFmtId="0" fontId="7" fillId="14" borderId="4" xfId="0" applyFont="1" applyFill="1" applyBorder="1" applyAlignment="1">
      <alignment horizontal="center" vertical="center"/>
    </xf>
    <xf numFmtId="0" fontId="6" fillId="15" borderId="2" xfId="0" applyFont="1" applyFill="1" applyBorder="1" applyAlignment="1">
      <alignment horizontal="left" vertical="center" indent="1"/>
    </xf>
    <xf numFmtId="0" fontId="6" fillId="15" borderId="4" xfId="0" applyFont="1" applyFill="1" applyBorder="1" applyAlignment="1">
      <alignment horizontal="center" vertical="center"/>
    </xf>
    <xf numFmtId="14" fontId="6" fillId="15" borderId="2" xfId="0" applyNumberFormat="1" applyFont="1" applyFill="1" applyBorder="1" applyAlignment="1">
      <alignment horizontal="center" vertical="center"/>
    </xf>
    <xf numFmtId="0" fontId="6" fillId="15" borderId="2" xfId="0" applyFont="1" applyFill="1" applyBorder="1" applyAlignment="1">
      <alignment horizontal="left" vertical="center"/>
    </xf>
    <xf numFmtId="0" fontId="6" fillId="15" borderId="1" xfId="0" applyFont="1" applyFill="1" applyBorder="1" applyAlignment="1">
      <alignment horizontal="center" vertical="center"/>
    </xf>
    <xf numFmtId="0" fontId="7" fillId="14" borderId="2" xfId="0" applyFont="1" applyFill="1" applyBorder="1" applyAlignment="1">
      <alignment horizontal="left" vertical="center" indent="1"/>
    </xf>
    <xf numFmtId="14" fontId="7" fillId="14" borderId="2" xfId="0" applyNumberFormat="1" applyFont="1" applyFill="1" applyBorder="1" applyAlignment="1">
      <alignment horizontal="center" vertical="center"/>
    </xf>
    <xf numFmtId="0" fontId="6" fillId="15" borderId="1" xfId="0" applyFont="1" applyFill="1" applyBorder="1" applyAlignment="1">
      <alignment horizontal="left" vertical="center"/>
    </xf>
    <xf numFmtId="0" fontId="7" fillId="14" borderId="5" xfId="0" applyFont="1" applyFill="1" applyBorder="1" applyAlignment="1">
      <alignment horizontal="left" vertical="center" indent="1"/>
    </xf>
    <xf numFmtId="49" fontId="6" fillId="0" borderId="7" xfId="0" quotePrefix="1" applyNumberFormat="1" applyFont="1" applyBorder="1" applyAlignment="1">
      <alignment horizontal="center" vertical="center"/>
    </xf>
    <xf numFmtId="49" fontId="6" fillId="0" borderId="1" xfId="0" quotePrefix="1" applyNumberFormat="1" applyFont="1" applyBorder="1" applyAlignment="1">
      <alignment horizontal="center" vertical="center"/>
    </xf>
    <xf numFmtId="49" fontId="6" fillId="0" borderId="5" xfId="0" quotePrefix="1" applyNumberFormat="1" applyFont="1" applyBorder="1" applyAlignment="1">
      <alignment horizontal="center" vertical="center"/>
    </xf>
    <xf numFmtId="49" fontId="6" fillId="0" borderId="4" xfId="0" quotePrefix="1" applyNumberFormat="1" applyFont="1" applyBorder="1" applyAlignment="1">
      <alignment horizontal="center" vertical="center"/>
    </xf>
    <xf numFmtId="49" fontId="6" fillId="0" borderId="2" xfId="0" quotePrefix="1" applyNumberFormat="1" applyFont="1" applyBorder="1" applyAlignment="1">
      <alignment horizontal="center" vertical="center"/>
    </xf>
    <xf numFmtId="0" fontId="0" fillId="15" borderId="0" xfId="0" applyFill="1" applyAlignment="1">
      <alignment horizontal="center"/>
    </xf>
    <xf numFmtId="0" fontId="22" fillId="14" borderId="0" xfId="0" applyFont="1" applyFill="1" applyAlignment="1">
      <alignment horizontal="center"/>
    </xf>
    <xf numFmtId="9" fontId="7" fillId="14" borderId="7" xfId="5" applyFont="1" applyFill="1" applyBorder="1" applyAlignment="1">
      <alignment horizontal="center" vertical="center"/>
    </xf>
    <xf numFmtId="9" fontId="7" fillId="14" borderId="1" xfId="5" applyFont="1" applyFill="1" applyBorder="1" applyAlignment="1">
      <alignment horizontal="center" vertical="center"/>
    </xf>
    <xf numFmtId="9" fontId="7" fillId="14" borderId="5" xfId="5" applyFont="1" applyFill="1" applyBorder="1" applyAlignment="1">
      <alignment horizontal="center" vertical="center"/>
    </xf>
    <xf numFmtId="9" fontId="6" fillId="15" borderId="2" xfId="5" applyFont="1" applyFill="1" applyBorder="1" applyAlignment="1">
      <alignment horizontal="center" vertical="center"/>
    </xf>
    <xf numFmtId="9" fontId="7" fillId="14" borderId="2" xfId="5" applyFont="1" applyFill="1" applyBorder="1" applyAlignment="1">
      <alignment horizontal="center" vertical="center"/>
    </xf>
    <xf numFmtId="9" fontId="6" fillId="15" borderId="1" xfId="5" applyFont="1" applyFill="1" applyBorder="1" applyAlignment="1">
      <alignment horizontal="center" vertical="center"/>
    </xf>
    <xf numFmtId="1" fontId="7" fillId="14" borderId="7" xfId="0" applyNumberFormat="1" applyFont="1" applyFill="1" applyBorder="1" applyAlignment="1">
      <alignment horizontal="center" vertical="center"/>
    </xf>
    <xf numFmtId="1" fontId="7" fillId="14" borderId="1" xfId="0" applyNumberFormat="1" applyFont="1" applyFill="1" applyBorder="1" applyAlignment="1">
      <alignment horizontal="center" vertical="center"/>
    </xf>
    <xf numFmtId="1" fontId="7" fillId="14" borderId="5" xfId="0" applyNumberFormat="1" applyFont="1" applyFill="1" applyBorder="1" applyAlignment="1">
      <alignment horizontal="center" vertical="center"/>
    </xf>
    <xf numFmtId="1" fontId="6" fillId="15" borderId="2" xfId="3" applyNumberFormat="1" applyFont="1" applyFill="1" applyBorder="1" applyAlignment="1">
      <alignment horizontal="center" vertical="center"/>
    </xf>
    <xf numFmtId="1" fontId="6" fillId="15" borderId="1" xfId="3" applyNumberFormat="1" applyFont="1" applyFill="1" applyBorder="1" applyAlignment="1">
      <alignment horizontal="center" vertical="center"/>
    </xf>
    <xf numFmtId="1" fontId="6" fillId="15" borderId="2" xfId="0" applyNumberFormat="1" applyFont="1" applyFill="1" applyBorder="1" applyAlignment="1">
      <alignment horizontal="center" vertical="center"/>
    </xf>
    <xf numFmtId="1" fontId="7" fillId="14" borderId="2" xfId="3" applyNumberFormat="1" applyFont="1" applyFill="1" applyBorder="1" applyAlignment="1">
      <alignment horizontal="center" vertical="center"/>
    </xf>
    <xf numFmtId="1" fontId="6" fillId="15" borderId="1" xfId="0" applyNumberFormat="1" applyFont="1" applyFill="1" applyBorder="1" applyAlignment="1">
      <alignment horizontal="center" vertical="center"/>
    </xf>
    <xf numFmtId="1" fontId="7" fillId="14" borderId="5" xfId="3" applyNumberFormat="1" applyFont="1" applyFill="1" applyBorder="1" applyAlignment="1">
      <alignment horizontal="center" vertical="center"/>
    </xf>
    <xf numFmtId="1" fontId="7" fillId="14" borderId="7" xfId="3" applyNumberFormat="1" applyFont="1" applyFill="1" applyBorder="1" applyAlignment="1">
      <alignment horizontal="center" vertical="center"/>
    </xf>
    <xf numFmtId="0" fontId="23" fillId="15" borderId="0" xfId="0" applyFont="1" applyFill="1"/>
    <xf numFmtId="0" fontId="24" fillId="15" borderId="7" xfId="0" applyFont="1" applyFill="1" applyBorder="1" applyAlignment="1">
      <alignment vertical="center"/>
    </xf>
    <xf numFmtId="0" fontId="24" fillId="15" borderId="15" xfId="0" applyFont="1" applyFill="1" applyBorder="1" applyAlignment="1">
      <alignment vertical="center"/>
    </xf>
    <xf numFmtId="0" fontId="24" fillId="15" borderId="1" xfId="0" applyFont="1" applyFill="1" applyBorder="1" applyAlignment="1">
      <alignment vertical="center"/>
    </xf>
    <xf numFmtId="0" fontId="24" fillId="15" borderId="5" xfId="0" applyFont="1" applyFill="1" applyBorder="1" applyAlignment="1">
      <alignment vertical="center"/>
    </xf>
    <xf numFmtId="0" fontId="24" fillId="15" borderId="17" xfId="0" applyFont="1" applyFill="1" applyBorder="1" applyAlignment="1">
      <alignment vertical="center"/>
    </xf>
    <xf numFmtId="0" fontId="24" fillId="15" borderId="4" xfId="0" applyFont="1" applyFill="1" applyBorder="1" applyAlignment="1">
      <alignment vertical="center"/>
    </xf>
    <xf numFmtId="0" fontId="24" fillId="15" borderId="18" xfId="0" applyFont="1" applyFill="1" applyBorder="1" applyAlignment="1">
      <alignment vertical="center"/>
    </xf>
    <xf numFmtId="0" fontId="24" fillId="15" borderId="2" xfId="0" applyFont="1" applyFill="1" applyBorder="1" applyAlignment="1">
      <alignment vertical="center"/>
    </xf>
    <xf numFmtId="0" fontId="24" fillId="15" borderId="19" xfId="0" applyFont="1" applyFill="1" applyBorder="1" applyAlignment="1">
      <alignment vertical="center"/>
    </xf>
    <xf numFmtId="0" fontId="24" fillId="16" borderId="7" xfId="0" applyFont="1" applyFill="1" applyBorder="1" applyAlignment="1">
      <alignment vertical="center"/>
    </xf>
    <xf numFmtId="0" fontId="23" fillId="16" borderId="0" xfId="0" applyFont="1" applyFill="1"/>
    <xf numFmtId="0" fontId="24" fillId="16" borderId="4" xfId="0" applyFont="1" applyFill="1" applyBorder="1" applyAlignment="1">
      <alignment vertical="center"/>
    </xf>
    <xf numFmtId="0" fontId="24" fillId="16" borderId="5" xfId="0" applyFont="1" applyFill="1" applyBorder="1" applyAlignment="1">
      <alignment vertical="center"/>
    </xf>
    <xf numFmtId="0" fontId="25" fillId="0" borderId="6" xfId="0" applyFont="1" applyBorder="1" applyAlignment="1">
      <alignment horizontal="center" vertical="center"/>
    </xf>
    <xf numFmtId="0" fontId="24" fillId="16" borderId="1" xfId="0" applyFont="1" applyFill="1" applyBorder="1" applyAlignment="1">
      <alignment vertical="center"/>
    </xf>
    <xf numFmtId="0" fontId="25" fillId="0" borderId="3" xfId="0" applyFont="1" applyBorder="1" applyAlignment="1">
      <alignment horizontal="center" vertical="center"/>
    </xf>
    <xf numFmtId="0" fontId="24" fillId="16" borderId="2" xfId="0" applyFont="1" applyFill="1" applyBorder="1" applyAlignment="1">
      <alignment vertical="center"/>
    </xf>
    <xf numFmtId="0" fontId="24" fillId="16" borderId="32" xfId="0" applyFont="1" applyFill="1" applyBorder="1" applyAlignment="1">
      <alignment vertical="center"/>
    </xf>
    <xf numFmtId="0" fontId="24" fillId="16" borderId="35" xfId="0" applyFont="1" applyFill="1" applyBorder="1" applyAlignment="1">
      <alignment vertical="center"/>
    </xf>
    <xf numFmtId="0" fontId="24" fillId="16" borderId="33" xfId="0" applyFont="1" applyFill="1" applyBorder="1" applyAlignment="1">
      <alignment vertical="center"/>
    </xf>
    <xf numFmtId="0" fontId="24" fillId="16" borderId="34" xfId="0" applyFont="1" applyFill="1" applyBorder="1" applyAlignment="1">
      <alignment vertical="center"/>
    </xf>
    <xf numFmtId="0" fontId="24" fillId="16" borderId="36" xfId="0" applyFont="1" applyFill="1" applyBorder="1" applyAlignment="1">
      <alignment vertical="center"/>
    </xf>
    <xf numFmtId="0" fontId="26" fillId="17" borderId="7" xfId="0" applyFont="1" applyFill="1" applyBorder="1" applyAlignment="1">
      <alignment vertical="center"/>
    </xf>
    <xf numFmtId="0" fontId="26" fillId="17" borderId="1" xfId="0" applyFont="1" applyFill="1" applyBorder="1" applyAlignment="1">
      <alignment vertical="center"/>
    </xf>
    <xf numFmtId="0" fontId="26" fillId="17" borderId="5" xfId="0" applyFont="1" applyFill="1" applyBorder="1" applyAlignment="1">
      <alignment vertical="center"/>
    </xf>
    <xf numFmtId="0" fontId="26" fillId="17" borderId="4" xfId="0" applyFont="1" applyFill="1" applyBorder="1" applyAlignment="1">
      <alignment vertical="center"/>
    </xf>
    <xf numFmtId="0" fontId="27" fillId="18" borderId="4" xfId="0" applyFont="1" applyFill="1" applyBorder="1" applyAlignment="1">
      <alignment vertical="center"/>
    </xf>
    <xf numFmtId="0" fontId="27" fillId="18" borderId="1" xfId="0" applyFont="1" applyFill="1" applyBorder="1" applyAlignment="1">
      <alignment vertical="center"/>
    </xf>
    <xf numFmtId="0" fontId="27" fillId="18" borderId="2" xfId="0" applyFont="1" applyFill="1" applyBorder="1" applyAlignment="1">
      <alignment vertical="center"/>
    </xf>
    <xf numFmtId="0" fontId="26" fillId="17" borderId="2" xfId="0" applyFont="1" applyFill="1" applyBorder="1" applyAlignment="1">
      <alignment vertical="center"/>
    </xf>
    <xf numFmtId="0" fontId="26" fillId="17" borderId="17" xfId="0" applyFont="1" applyFill="1" applyBorder="1" applyAlignment="1">
      <alignment vertical="center"/>
    </xf>
    <xf numFmtId="0" fontId="6" fillId="0" borderId="53" xfId="0" quotePrefix="1" applyFont="1" applyBorder="1" applyAlignment="1">
      <alignment horizontal="center" vertical="center"/>
    </xf>
    <xf numFmtId="0" fontId="0" fillId="0" borderId="39" xfId="0" applyBorder="1" applyAlignment="1">
      <alignment vertical="center" wrapText="1"/>
    </xf>
    <xf numFmtId="0" fontId="0" fillId="0" borderId="37" xfId="0" applyBorder="1" applyAlignment="1">
      <alignment vertical="center" wrapText="1"/>
    </xf>
    <xf numFmtId="0" fontId="6" fillId="12" borderId="0" xfId="0" applyFont="1" applyFill="1" applyAlignment="1">
      <alignment horizontal="center" vertical="center"/>
    </xf>
    <xf numFmtId="0" fontId="17" fillId="11" borderId="75" xfId="0" applyFont="1" applyFill="1" applyBorder="1" applyAlignment="1">
      <alignment horizontal="center" vertical="center"/>
    </xf>
    <xf numFmtId="0" fontId="17" fillId="11" borderId="73" xfId="0" applyFont="1" applyFill="1" applyBorder="1" applyAlignment="1">
      <alignment horizontal="center" vertical="center"/>
    </xf>
    <xf numFmtId="0" fontId="17" fillId="11" borderId="76" xfId="0" applyFont="1" applyFill="1" applyBorder="1" applyAlignment="1">
      <alignment horizontal="center" vertical="center"/>
    </xf>
    <xf numFmtId="0" fontId="19" fillId="9" borderId="72" xfId="0" applyFont="1" applyFill="1" applyBorder="1" applyAlignment="1">
      <alignment horizontal="left" vertical="center" indent="1"/>
    </xf>
    <xf numFmtId="0" fontId="19" fillId="9" borderId="73" xfId="0" applyFont="1" applyFill="1" applyBorder="1" applyAlignment="1">
      <alignment horizontal="left" vertical="center" indent="1"/>
    </xf>
    <xf numFmtId="0" fontId="19" fillId="9" borderId="74" xfId="0" applyFont="1" applyFill="1" applyBorder="1" applyAlignment="1">
      <alignment horizontal="left" vertical="center" indent="1"/>
    </xf>
    <xf numFmtId="0" fontId="17" fillId="11" borderId="70" xfId="0" applyFont="1" applyFill="1" applyBorder="1" applyAlignment="1">
      <alignment horizontal="center" vertical="center"/>
    </xf>
    <xf numFmtId="0" fontId="17" fillId="11" borderId="68" xfId="0" applyFont="1" applyFill="1" applyBorder="1" applyAlignment="1">
      <alignment horizontal="center" vertical="center"/>
    </xf>
    <xf numFmtId="0" fontId="17" fillId="11" borderId="71" xfId="0" applyFont="1" applyFill="1" applyBorder="1" applyAlignment="1">
      <alignment horizontal="center" vertical="center"/>
    </xf>
    <xf numFmtId="14" fontId="19" fillId="9" borderId="67" xfId="0" quotePrefix="1" applyNumberFormat="1" applyFont="1" applyFill="1" applyBorder="1" applyAlignment="1">
      <alignment horizontal="left" vertical="center" indent="1"/>
    </xf>
    <xf numFmtId="14" fontId="19" fillId="9" borderId="68" xfId="0" applyNumberFormat="1" applyFont="1" applyFill="1" applyBorder="1" applyAlignment="1">
      <alignment horizontal="left" vertical="center" indent="1"/>
    </xf>
    <xf numFmtId="14" fontId="19" fillId="9" borderId="69" xfId="0" applyNumberFormat="1" applyFont="1" applyFill="1" applyBorder="1" applyAlignment="1">
      <alignment horizontal="left" vertical="center" indent="1"/>
    </xf>
    <xf numFmtId="0" fontId="7" fillId="8" borderId="0" xfId="0" applyFont="1" applyFill="1" applyAlignment="1">
      <alignment horizontal="center" vertical="center"/>
    </xf>
    <xf numFmtId="0" fontId="7" fillId="2" borderId="0" xfId="0" applyFont="1" applyFill="1" applyAlignment="1">
      <alignment horizontal="center" vertical="center"/>
    </xf>
    <xf numFmtId="0" fontId="17" fillId="9" borderId="0" xfId="0" applyFont="1" applyFill="1" applyAlignment="1">
      <alignment horizontal="right" vertical="center"/>
    </xf>
    <xf numFmtId="0" fontId="20" fillId="10" borderId="0" xfId="0" applyFont="1" applyFill="1" applyAlignment="1">
      <alignment horizontal="center" vertical="center"/>
    </xf>
    <xf numFmtId="0" fontId="17" fillId="11" borderId="65" xfId="0" applyFont="1" applyFill="1" applyBorder="1" applyAlignment="1">
      <alignment horizontal="center" vertical="center"/>
    </xf>
    <xf numFmtId="0" fontId="17" fillId="11" borderId="63" xfId="0" applyFont="1" applyFill="1" applyBorder="1" applyAlignment="1">
      <alignment horizontal="center" vertical="center"/>
    </xf>
    <xf numFmtId="0" fontId="17" fillId="11" borderId="66" xfId="0" applyFont="1" applyFill="1" applyBorder="1" applyAlignment="1">
      <alignment horizontal="center" vertical="center"/>
    </xf>
    <xf numFmtId="0" fontId="19" fillId="9" borderId="62" xfId="0" applyFont="1" applyFill="1" applyBorder="1" applyAlignment="1">
      <alignment horizontal="left" vertical="center" indent="1"/>
    </xf>
    <xf numFmtId="0" fontId="19" fillId="9" borderId="63" xfId="0" applyFont="1" applyFill="1" applyBorder="1" applyAlignment="1">
      <alignment horizontal="left" vertical="center" indent="1"/>
    </xf>
    <xf numFmtId="0" fontId="19" fillId="9" borderId="64" xfId="0" applyFont="1" applyFill="1" applyBorder="1" applyAlignment="1">
      <alignment horizontal="left" vertical="center" indent="1"/>
    </xf>
    <xf numFmtId="0" fontId="21" fillId="0" borderId="48" xfId="0" applyFont="1" applyBorder="1" applyAlignment="1">
      <alignment horizontal="center" vertical="center"/>
    </xf>
    <xf numFmtId="0" fontId="21" fillId="0" borderId="14" xfId="0" applyFont="1" applyBorder="1" applyAlignment="1">
      <alignment horizontal="center" vertical="center"/>
    </xf>
    <xf numFmtId="0" fontId="21" fillId="0" borderId="49" xfId="0" applyFont="1" applyBorder="1" applyAlignment="1">
      <alignment horizontal="center" vertical="center"/>
    </xf>
    <xf numFmtId="0" fontId="7" fillId="5" borderId="13" xfId="0" applyFont="1" applyFill="1" applyBorder="1" applyAlignment="1">
      <alignment horizontal="center" vertical="center"/>
    </xf>
    <xf numFmtId="0" fontId="7" fillId="5" borderId="14" xfId="0" applyFont="1" applyFill="1" applyBorder="1" applyAlignment="1">
      <alignment horizontal="center" vertical="center"/>
    </xf>
    <xf numFmtId="0" fontId="7" fillId="0" borderId="11" xfId="0" applyFont="1" applyBorder="1" applyAlignment="1">
      <alignment horizontal="center" vertical="center" wrapText="1"/>
    </xf>
    <xf numFmtId="0" fontId="7" fillId="0" borderId="8" xfId="0" applyFont="1" applyBorder="1" applyAlignment="1">
      <alignment horizontal="center" vertical="center" wrapText="1"/>
    </xf>
    <xf numFmtId="0" fontId="7" fillId="0" borderId="10" xfId="0" applyFont="1" applyBorder="1" applyAlignment="1">
      <alignment horizontal="center" vertical="center" wrapText="1"/>
    </xf>
    <xf numFmtId="0" fontId="7" fillId="0" borderId="13" xfId="0" applyFont="1" applyBorder="1" applyAlignment="1">
      <alignment horizontal="center" vertical="center"/>
    </xf>
    <xf numFmtId="0" fontId="7" fillId="0" borderId="14" xfId="0" applyFont="1" applyBorder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13" fillId="0" borderId="9" xfId="0" applyFont="1" applyBorder="1" applyAlignment="1">
      <alignment horizontal="center" vertical="center"/>
    </xf>
    <xf numFmtId="0" fontId="7" fillId="0" borderId="20" xfId="0" applyFont="1" applyBorder="1" applyAlignment="1">
      <alignment horizontal="center" vertical="center"/>
    </xf>
  </cellXfs>
  <cellStyles count="7">
    <cellStyle name="백분율" xfId="5" builtinId="5"/>
    <cellStyle name="표준" xfId="0" builtinId="0"/>
    <cellStyle name="표준 2" xfId="1" xr:uid="{00000000-0005-0000-0000-000002000000}"/>
    <cellStyle name="표준 2 2" xfId="4" xr:uid="{00000000-0005-0000-0000-000003000000}"/>
    <cellStyle name="표준 3" xfId="3" xr:uid="{00000000-0005-0000-0000-000004000000}"/>
    <cellStyle name="표준 4" xfId="2" xr:uid="{00000000-0005-0000-0000-000005000000}"/>
    <cellStyle name="표준 5" xfId="6" xr:uid="{00000000-0005-0000-0000-000006000000}"/>
  </cellStyles>
  <dxfs count="1">
    <dxf>
      <font>
        <color rgb="FFFF0000"/>
      </font>
    </dxf>
  </dxfs>
  <tableStyles count="0" defaultTableStyle="TableStyleMedium2" defaultPivotStyle="PivotStyleMedium9"/>
  <colors>
    <mruColors>
      <color rgb="FFFF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29</xdr:col>
      <xdr:colOff>66675</xdr:colOff>
      <xdr:row>20</xdr:row>
      <xdr:rowOff>54399</xdr:rowOff>
    </xdr:from>
    <xdr:to>
      <xdr:col>33</xdr:col>
      <xdr:colOff>24848</xdr:colOff>
      <xdr:row>22</xdr:row>
      <xdr:rowOff>3811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1FC3991A-6D93-4548-826C-47916939373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570718" y="4767203"/>
          <a:ext cx="1018347" cy="29728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CFEA9D-58D2-406F-ACBF-0197D062AF2B}">
  <dimension ref="A1:AI20"/>
  <sheetViews>
    <sheetView tabSelected="1" view="pageBreakPreview" zoomScale="115" zoomScaleNormal="100" zoomScaleSheetLayoutView="115" workbookViewId="0">
      <selection activeCell="O28" sqref="O28"/>
    </sheetView>
  </sheetViews>
  <sheetFormatPr defaultColWidth="3.75" defaultRowHeight="13.5"/>
  <cols>
    <col min="1" max="1" width="3.125" style="66" customWidth="1"/>
    <col min="2" max="2" width="2.875" style="66" customWidth="1"/>
    <col min="3" max="3" width="3.125" style="66" customWidth="1"/>
    <col min="4" max="11" width="3.5" style="66" customWidth="1"/>
    <col min="12" max="12" width="2.375" style="66" customWidth="1"/>
    <col min="13" max="35" width="3.5" style="66" customWidth="1"/>
    <col min="36" max="16384" width="3.75" style="66"/>
  </cols>
  <sheetData>
    <row r="1" spans="1:35">
      <c r="A1" s="172"/>
      <c r="B1" s="172"/>
      <c r="C1" s="172"/>
      <c r="D1" s="172"/>
      <c r="E1" s="172"/>
      <c r="F1" s="172"/>
      <c r="G1" s="172"/>
      <c r="H1" s="172"/>
      <c r="I1" s="172"/>
      <c r="J1" s="172"/>
      <c r="K1" s="172"/>
      <c r="L1" s="172"/>
      <c r="M1" s="172"/>
      <c r="N1" s="172"/>
      <c r="O1" s="172"/>
      <c r="P1" s="172"/>
      <c r="Q1" s="172"/>
      <c r="R1" s="172"/>
      <c r="S1" s="172"/>
      <c r="T1" s="172"/>
      <c r="U1" s="172"/>
      <c r="V1" s="172"/>
      <c r="W1" s="172"/>
      <c r="X1" s="172"/>
      <c r="Y1" s="172"/>
      <c r="Z1" s="172"/>
      <c r="AA1" s="172"/>
      <c r="AB1" s="172"/>
      <c r="AC1" s="172"/>
      <c r="AD1" s="172"/>
      <c r="AE1" s="172"/>
      <c r="AF1" s="172"/>
      <c r="AG1" s="172"/>
      <c r="AH1" s="172"/>
    </row>
    <row r="2" spans="1:35">
      <c r="A2" s="173"/>
      <c r="B2" s="173"/>
      <c r="C2" s="173"/>
      <c r="D2" s="173"/>
      <c r="E2" s="173"/>
      <c r="F2" s="173"/>
      <c r="G2" s="173"/>
      <c r="H2" s="173"/>
      <c r="I2" s="173"/>
      <c r="J2" s="173"/>
      <c r="K2" s="173"/>
      <c r="L2" s="173"/>
      <c r="M2" s="173"/>
      <c r="N2" s="173"/>
      <c r="O2" s="173"/>
      <c r="P2" s="173"/>
      <c r="Q2" s="173"/>
      <c r="R2" s="173"/>
      <c r="S2" s="173"/>
      <c r="T2" s="173"/>
      <c r="U2" s="173"/>
      <c r="V2" s="173"/>
      <c r="W2" s="173"/>
      <c r="X2" s="173"/>
      <c r="Y2" s="173"/>
      <c r="Z2" s="173"/>
      <c r="AA2" s="173"/>
      <c r="AB2" s="173"/>
      <c r="AC2" s="173"/>
      <c r="AD2" s="173"/>
      <c r="AE2" s="173"/>
      <c r="AF2" s="173"/>
      <c r="AG2" s="173"/>
      <c r="AH2" s="173"/>
    </row>
    <row r="3" spans="1:35">
      <c r="F3" s="67"/>
      <c r="H3" s="68"/>
      <c r="I3" s="68"/>
      <c r="K3" s="68"/>
      <c r="L3" s="68"/>
      <c r="M3" s="68"/>
      <c r="N3" s="68"/>
      <c r="AG3" s="68"/>
      <c r="AH3" s="68"/>
      <c r="AI3" s="68"/>
    </row>
    <row r="4" spans="1:35" ht="20.25">
      <c r="N4" s="174" t="s">
        <v>0</v>
      </c>
      <c r="O4" s="174"/>
      <c r="P4" s="174"/>
      <c r="Q4" s="174"/>
      <c r="R4" s="174"/>
      <c r="S4" s="174"/>
      <c r="T4" s="174"/>
      <c r="U4" s="174"/>
      <c r="V4" s="174"/>
      <c r="W4" s="174"/>
      <c r="X4" s="174"/>
      <c r="Y4" s="174"/>
      <c r="Z4" s="174"/>
      <c r="AA4" s="174"/>
      <c r="AB4" s="174"/>
      <c r="AC4" s="174"/>
      <c r="AD4" s="174"/>
      <c r="AE4" s="174"/>
      <c r="AF4" s="174"/>
      <c r="AG4" s="174"/>
      <c r="AH4" s="174"/>
    </row>
    <row r="5" spans="1:35">
      <c r="A5" s="69"/>
      <c r="B5" s="69"/>
      <c r="C5" s="69"/>
      <c r="D5" s="69"/>
      <c r="E5" s="69"/>
      <c r="F5" s="69"/>
      <c r="G5" s="69"/>
      <c r="H5" s="69"/>
      <c r="I5" s="69"/>
    </row>
    <row r="6" spans="1:35" ht="69.75">
      <c r="A6" s="175" t="s">
        <v>1</v>
      </c>
      <c r="B6" s="175"/>
      <c r="C6" s="175"/>
      <c r="D6" s="175"/>
      <c r="E6" s="175"/>
      <c r="F6" s="175"/>
      <c r="G6" s="175"/>
      <c r="H6" s="175"/>
      <c r="I6" s="175"/>
      <c r="J6" s="175"/>
      <c r="K6" s="175"/>
      <c r="L6" s="175"/>
      <c r="M6" s="175"/>
      <c r="N6" s="175"/>
      <c r="O6" s="175"/>
      <c r="P6" s="175"/>
      <c r="Q6" s="175"/>
      <c r="R6" s="175"/>
      <c r="S6" s="175"/>
      <c r="T6" s="175"/>
      <c r="U6" s="175"/>
      <c r="V6" s="175"/>
      <c r="W6" s="175"/>
      <c r="X6" s="175"/>
      <c r="Y6" s="175"/>
      <c r="Z6" s="175"/>
      <c r="AA6" s="175"/>
      <c r="AB6" s="175"/>
      <c r="AC6" s="175"/>
      <c r="AD6" s="175"/>
      <c r="AE6" s="175"/>
      <c r="AF6" s="175"/>
      <c r="AG6" s="175"/>
      <c r="AH6" s="175"/>
    </row>
    <row r="7" spans="1:35">
      <c r="A7" s="69"/>
      <c r="B7" s="69"/>
      <c r="C7" s="69"/>
      <c r="D7" s="69"/>
      <c r="E7" s="69"/>
      <c r="F7" s="69"/>
      <c r="G7" s="69"/>
      <c r="H7" s="69"/>
      <c r="I7" s="69"/>
    </row>
    <row r="8" spans="1:35">
      <c r="A8" s="69"/>
      <c r="B8" s="69"/>
      <c r="C8" s="69"/>
      <c r="D8" s="69"/>
      <c r="E8" s="69"/>
      <c r="F8" s="69"/>
      <c r="G8" s="69"/>
      <c r="H8" s="69"/>
      <c r="I8" s="69"/>
    </row>
    <row r="9" spans="1:35">
      <c r="A9" s="69"/>
      <c r="B9" s="69"/>
      <c r="C9" s="69"/>
      <c r="D9" s="69"/>
      <c r="E9" s="69"/>
      <c r="F9" s="69"/>
      <c r="G9" s="69"/>
      <c r="H9" s="69"/>
      <c r="I9" s="69"/>
    </row>
    <row r="10" spans="1:35">
      <c r="A10" s="69"/>
      <c r="B10" s="69"/>
      <c r="C10" s="69"/>
      <c r="D10" s="69"/>
      <c r="E10" s="69"/>
      <c r="F10" s="69"/>
      <c r="G10" s="69"/>
      <c r="H10" s="69"/>
      <c r="I10" s="69"/>
    </row>
    <row r="11" spans="1:35" ht="14.25" thickBot="1">
      <c r="A11" s="69"/>
      <c r="B11" s="69"/>
      <c r="C11" s="69"/>
      <c r="D11" s="69"/>
      <c r="E11" s="69"/>
      <c r="F11" s="69"/>
      <c r="G11" s="69"/>
      <c r="H11" s="69"/>
      <c r="I11" s="69"/>
    </row>
    <row r="12" spans="1:35" ht="20.25">
      <c r="A12" s="69"/>
      <c r="B12" s="69"/>
      <c r="C12" s="69"/>
      <c r="D12" s="69"/>
      <c r="E12" s="69"/>
      <c r="F12" s="69"/>
      <c r="G12" s="69"/>
      <c r="H12" s="69"/>
      <c r="I12" s="69"/>
      <c r="R12" s="176" t="s">
        <v>2</v>
      </c>
      <c r="S12" s="177"/>
      <c r="T12" s="177"/>
      <c r="U12" s="178"/>
      <c r="V12" s="179" t="s">
        <v>3</v>
      </c>
      <c r="W12" s="180"/>
      <c r="X12" s="180"/>
      <c r="Y12" s="180"/>
      <c r="Z12" s="180"/>
      <c r="AA12" s="180"/>
      <c r="AB12" s="180"/>
      <c r="AC12" s="180"/>
      <c r="AD12" s="180"/>
      <c r="AE12" s="180"/>
      <c r="AF12" s="180"/>
      <c r="AG12" s="181"/>
    </row>
    <row r="13" spans="1:35" ht="20.25">
      <c r="A13" s="69"/>
      <c r="B13" s="69"/>
      <c r="C13" s="69"/>
      <c r="D13" s="69"/>
      <c r="E13" s="69"/>
      <c r="F13" s="69"/>
      <c r="G13" s="69"/>
      <c r="H13" s="69"/>
      <c r="I13" s="69"/>
      <c r="R13" s="160" t="s">
        <v>4</v>
      </c>
      <c r="S13" s="161"/>
      <c r="T13" s="161"/>
      <c r="U13" s="162"/>
      <c r="V13" s="163" t="s">
        <v>5</v>
      </c>
      <c r="W13" s="164"/>
      <c r="X13" s="164"/>
      <c r="Y13" s="164"/>
      <c r="Z13" s="164"/>
      <c r="AA13" s="164"/>
      <c r="AB13" s="164"/>
      <c r="AC13" s="164"/>
      <c r="AD13" s="164"/>
      <c r="AE13" s="164"/>
      <c r="AF13" s="164"/>
      <c r="AG13" s="165"/>
    </row>
    <row r="14" spans="1:35" ht="20.25">
      <c r="A14" s="69"/>
      <c r="B14" s="69"/>
      <c r="C14" s="69"/>
      <c r="D14" s="69"/>
      <c r="E14" s="69"/>
      <c r="F14" s="69"/>
      <c r="G14" s="69"/>
      <c r="H14" s="69"/>
      <c r="I14" s="69"/>
      <c r="R14" s="160" t="s">
        <v>6</v>
      </c>
      <c r="S14" s="161"/>
      <c r="T14" s="161"/>
      <c r="U14" s="162"/>
      <c r="V14" s="163" t="s">
        <v>7</v>
      </c>
      <c r="W14" s="164"/>
      <c r="X14" s="164"/>
      <c r="Y14" s="164"/>
      <c r="Z14" s="164"/>
      <c r="AA14" s="164"/>
      <c r="AB14" s="164"/>
      <c r="AC14" s="164"/>
      <c r="AD14" s="164"/>
      <c r="AE14" s="164"/>
      <c r="AF14" s="164"/>
      <c r="AG14" s="165"/>
    </row>
    <row r="15" spans="1:35" ht="21" thickBot="1">
      <c r="A15" s="69"/>
      <c r="B15" s="69"/>
      <c r="C15" s="69"/>
      <c r="D15" s="69"/>
      <c r="E15" s="69"/>
      <c r="F15" s="69"/>
      <c r="G15" s="69"/>
      <c r="H15" s="69"/>
      <c r="I15" s="69"/>
      <c r="R15" s="166" t="s">
        <v>8</v>
      </c>
      <c r="S15" s="167"/>
      <c r="T15" s="167"/>
      <c r="U15" s="168"/>
      <c r="V15" s="169" t="s">
        <v>9</v>
      </c>
      <c r="W15" s="170"/>
      <c r="X15" s="170"/>
      <c r="Y15" s="170"/>
      <c r="Z15" s="170"/>
      <c r="AA15" s="170"/>
      <c r="AB15" s="170"/>
      <c r="AC15" s="170"/>
      <c r="AD15" s="170"/>
      <c r="AE15" s="170"/>
      <c r="AF15" s="170"/>
      <c r="AG15" s="171"/>
    </row>
    <row r="16" spans="1:35">
      <c r="A16" s="69"/>
      <c r="B16" s="69"/>
      <c r="C16" s="69"/>
      <c r="D16" s="69"/>
      <c r="E16" s="69"/>
      <c r="F16" s="69"/>
      <c r="G16" s="69"/>
      <c r="H16" s="69"/>
      <c r="I16" s="69"/>
    </row>
    <row r="17" spans="1:34">
      <c r="A17" s="69"/>
      <c r="B17" s="69"/>
      <c r="C17" s="69"/>
      <c r="D17" s="69"/>
      <c r="E17" s="69"/>
      <c r="F17" s="69"/>
      <c r="G17" s="69"/>
      <c r="H17" s="69"/>
      <c r="I17" s="69"/>
    </row>
    <row r="20" spans="1:34">
      <c r="A20" s="159"/>
      <c r="B20" s="159"/>
      <c r="C20" s="159"/>
      <c r="D20" s="159"/>
      <c r="E20" s="159"/>
      <c r="F20" s="159"/>
      <c r="G20" s="159"/>
      <c r="H20" s="159"/>
      <c r="I20" s="159"/>
      <c r="J20" s="159"/>
      <c r="K20" s="159"/>
      <c r="L20" s="159"/>
      <c r="M20" s="159"/>
      <c r="N20" s="159"/>
      <c r="O20" s="159"/>
      <c r="P20" s="159"/>
      <c r="Q20" s="159"/>
      <c r="R20" s="159"/>
      <c r="S20" s="159"/>
      <c r="T20" s="159"/>
      <c r="U20" s="159"/>
      <c r="V20" s="159"/>
      <c r="W20" s="159"/>
      <c r="X20" s="159"/>
      <c r="Y20" s="159"/>
      <c r="Z20" s="159"/>
      <c r="AA20" s="159"/>
      <c r="AB20" s="159"/>
      <c r="AC20" s="159"/>
      <c r="AD20" s="159"/>
      <c r="AE20" s="159"/>
      <c r="AF20" s="159"/>
      <c r="AG20" s="159"/>
      <c r="AH20" s="159"/>
    </row>
  </sheetData>
  <mergeCells count="13">
    <mergeCell ref="A1:AH1"/>
    <mergeCell ref="A2:AH2"/>
    <mergeCell ref="N4:AH4"/>
    <mergeCell ref="A6:AH6"/>
    <mergeCell ref="R12:U12"/>
    <mergeCell ref="V12:AG12"/>
    <mergeCell ref="A20:AH20"/>
    <mergeCell ref="R13:U13"/>
    <mergeCell ref="V13:AG13"/>
    <mergeCell ref="R14:U14"/>
    <mergeCell ref="V14:AG14"/>
    <mergeCell ref="R15:U15"/>
    <mergeCell ref="V15:AG15"/>
  </mergeCells>
  <phoneticPr fontId="5" type="noConversion"/>
  <pageMargins left="0.7" right="0.7" top="0.75" bottom="0.75" header="0.3" footer="0.3"/>
  <pageSetup paperSize="9" orientation="landscape" r:id="rId1"/>
  <headerFooter>
    <oddHeader>&amp;R&amp;"Calibri"&amp;9&amp;K000000 [Confidential] 본 문서는 TDG의 소유입니다.&amp;1#_x000D_</oddHeader>
    <oddFooter>&amp;R_x000D_&amp;1#&amp;"Calibri"&amp;9&amp;K000000 김종익 | TD-STD-R02_(WBS_일반엑셀) Azure Landing Zone 구축_v0.1.xlsx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D3F732-4A80-48B7-AFB2-94FFD2EAEAFF}">
  <dimension ref="B1:E32"/>
  <sheetViews>
    <sheetView workbookViewId="0"/>
  </sheetViews>
  <sheetFormatPr defaultColWidth="9" defaultRowHeight="13.5"/>
  <cols>
    <col min="1" max="1" width="1.75" style="2" customWidth="1"/>
    <col min="2" max="4" width="16.75" style="1" customWidth="1"/>
    <col min="5" max="5" width="61.875" style="2" customWidth="1"/>
    <col min="6" max="16384" width="9" style="2"/>
  </cols>
  <sheetData>
    <row r="1" spans="2:5" ht="14.25" thickBot="1"/>
    <row r="2" spans="2:5" ht="32.25" thickBot="1">
      <c r="B2" s="182" t="s">
        <v>10</v>
      </c>
      <c r="C2" s="183"/>
      <c r="D2" s="183"/>
      <c r="E2" s="184"/>
    </row>
    <row r="3" spans="2:5" ht="14.25" thickBot="1"/>
    <row r="4" spans="2:5" ht="14.25" thickBot="1">
      <c r="B4" s="70" t="s">
        <v>11</v>
      </c>
      <c r="C4" s="70" t="s">
        <v>12</v>
      </c>
      <c r="D4" s="71" t="s">
        <v>13</v>
      </c>
      <c r="E4" s="72" t="s">
        <v>14</v>
      </c>
    </row>
    <row r="5" spans="2:5">
      <c r="B5" s="73" t="s">
        <v>7</v>
      </c>
      <c r="C5" s="156" t="s">
        <v>15</v>
      </c>
      <c r="D5" s="74" t="s">
        <v>16</v>
      </c>
      <c r="E5" s="75" t="s">
        <v>17</v>
      </c>
    </row>
    <row r="6" spans="2:5">
      <c r="B6" s="76"/>
      <c r="C6" s="76"/>
      <c r="D6" s="77"/>
      <c r="E6" s="78"/>
    </row>
    <row r="7" spans="2:5">
      <c r="B7" s="76"/>
      <c r="C7" s="76"/>
      <c r="D7" s="77"/>
      <c r="E7" s="78"/>
    </row>
    <row r="8" spans="2:5">
      <c r="B8" s="76"/>
      <c r="C8" s="76"/>
      <c r="D8" s="77"/>
      <c r="E8" s="78"/>
    </row>
    <row r="9" spans="2:5">
      <c r="B9" s="76"/>
      <c r="C9" s="76"/>
      <c r="D9" s="77"/>
      <c r="E9" s="78"/>
    </row>
    <row r="10" spans="2:5">
      <c r="B10" s="76"/>
      <c r="C10" s="76"/>
      <c r="D10" s="77"/>
      <c r="E10" s="78"/>
    </row>
    <row r="11" spans="2:5">
      <c r="B11" s="76"/>
      <c r="C11" s="76"/>
      <c r="D11" s="77"/>
      <c r="E11" s="78"/>
    </row>
    <row r="12" spans="2:5">
      <c r="B12" s="76"/>
      <c r="C12" s="76"/>
      <c r="D12" s="77"/>
      <c r="E12" s="78"/>
    </row>
    <row r="13" spans="2:5">
      <c r="B13" s="76"/>
      <c r="C13" s="76"/>
      <c r="D13" s="77"/>
      <c r="E13" s="78"/>
    </row>
    <row r="14" spans="2:5">
      <c r="B14" s="76"/>
      <c r="C14" s="76"/>
      <c r="D14" s="77"/>
      <c r="E14" s="78"/>
    </row>
    <row r="15" spans="2:5">
      <c r="B15" s="76"/>
      <c r="C15" s="76"/>
      <c r="D15" s="77"/>
      <c r="E15" s="78"/>
    </row>
    <row r="16" spans="2:5">
      <c r="B16" s="76"/>
      <c r="C16" s="76"/>
      <c r="D16" s="77"/>
      <c r="E16" s="78"/>
    </row>
    <row r="17" spans="2:5">
      <c r="B17" s="76"/>
      <c r="C17" s="76"/>
      <c r="D17" s="77"/>
      <c r="E17" s="78"/>
    </row>
    <row r="18" spans="2:5">
      <c r="B18" s="76"/>
      <c r="C18" s="76"/>
      <c r="D18" s="77"/>
      <c r="E18" s="78"/>
    </row>
    <row r="19" spans="2:5">
      <c r="B19" s="76"/>
      <c r="C19" s="76"/>
      <c r="D19" s="77"/>
      <c r="E19" s="78"/>
    </row>
    <row r="20" spans="2:5">
      <c r="B20" s="76"/>
      <c r="C20" s="76"/>
      <c r="D20" s="77"/>
      <c r="E20" s="78"/>
    </row>
    <row r="21" spans="2:5">
      <c r="B21" s="76"/>
      <c r="C21" s="76"/>
      <c r="D21" s="77"/>
      <c r="E21" s="78"/>
    </row>
    <row r="22" spans="2:5">
      <c r="B22" s="76"/>
      <c r="C22" s="76"/>
      <c r="D22" s="77"/>
      <c r="E22" s="78"/>
    </row>
    <row r="23" spans="2:5">
      <c r="B23" s="76"/>
      <c r="C23" s="76"/>
      <c r="D23" s="77"/>
      <c r="E23" s="78"/>
    </row>
    <row r="24" spans="2:5">
      <c r="B24" s="76"/>
      <c r="C24" s="76"/>
      <c r="D24" s="77"/>
      <c r="E24" s="78"/>
    </row>
    <row r="25" spans="2:5">
      <c r="B25" s="76"/>
      <c r="C25" s="76"/>
      <c r="D25" s="77"/>
      <c r="E25" s="78"/>
    </row>
    <row r="26" spans="2:5">
      <c r="B26" s="76"/>
      <c r="C26" s="76"/>
      <c r="D26" s="77"/>
      <c r="E26" s="78"/>
    </row>
    <row r="27" spans="2:5">
      <c r="B27" s="76"/>
      <c r="C27" s="76"/>
      <c r="D27" s="77"/>
      <c r="E27" s="78"/>
    </row>
    <row r="28" spans="2:5">
      <c r="B28" s="76"/>
      <c r="C28" s="76"/>
      <c r="D28" s="77"/>
      <c r="E28" s="78"/>
    </row>
    <row r="29" spans="2:5">
      <c r="B29" s="76"/>
      <c r="C29" s="76"/>
      <c r="D29" s="77"/>
      <c r="E29" s="78"/>
    </row>
    <row r="30" spans="2:5">
      <c r="B30" s="76"/>
      <c r="C30" s="76"/>
      <c r="D30" s="77"/>
      <c r="E30" s="78"/>
    </row>
    <row r="31" spans="2:5">
      <c r="B31" s="76"/>
      <c r="C31" s="76"/>
      <c r="D31" s="77"/>
      <c r="E31" s="78"/>
    </row>
    <row r="32" spans="2:5" ht="14.25" thickBot="1">
      <c r="B32" s="79"/>
      <c r="C32" s="79"/>
      <c r="D32" s="80"/>
      <c r="E32" s="81"/>
    </row>
  </sheetData>
  <mergeCells count="1">
    <mergeCell ref="B2:E2"/>
  </mergeCells>
  <phoneticPr fontId="5" type="noConversion"/>
  <pageMargins left="0.7" right="0.7" top="0.75" bottom="0.75" header="0.3" footer="0.3"/>
  <headerFooter>
    <oddHeader>&amp;R&amp;"Calibri"&amp;9&amp;K000000 [Confidential] 본 문서는 TDG의 소유입니다.&amp;1#_x000D_</oddHeader>
    <oddFooter>&amp;R_x000D_&amp;1#&amp;"Calibri"&amp;9&amp;K000000 김종익 | TD-STD-R02_(WBS_일반엑셀) Azure Landing Zone 구축_v0.1.xlsx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1:DE53"/>
  <sheetViews>
    <sheetView showGridLines="0" zoomScale="85" zoomScaleNormal="85" workbookViewId="0">
      <pane xSplit="12" ySplit="3" topLeftCell="M4" activePane="bottomRight" state="frozen"/>
      <selection pane="bottomRight" activeCell="G27" sqref="G27"/>
      <selection pane="bottomLeft" activeCell="A4" sqref="A4"/>
      <selection pane="topRight" activeCell="I1" sqref="I1"/>
    </sheetView>
  </sheetViews>
  <sheetFormatPr defaultColWidth="9" defaultRowHeight="13.5"/>
  <cols>
    <col min="1" max="1" width="1.875" style="2" customWidth="1"/>
    <col min="2" max="2" width="10.5" style="1" customWidth="1"/>
    <col min="3" max="3" width="5.125" style="1" customWidth="1"/>
    <col min="4" max="4" width="6.125" style="18" customWidth="1"/>
    <col min="5" max="5" width="42.625" style="1" customWidth="1"/>
    <col min="6" max="6" width="12" style="1" customWidth="1"/>
    <col min="7" max="7" width="16.375" style="1" customWidth="1"/>
    <col min="8" max="8" width="5.875" style="1" customWidth="1"/>
    <col min="9" max="9" width="9" style="1" customWidth="1"/>
    <col min="10" max="11" width="10.25" style="1" customWidth="1"/>
    <col min="12" max="12" width="9" style="2" customWidth="1"/>
    <col min="13" max="109" width="5.125" style="2" customWidth="1"/>
    <col min="110" max="16384" width="9" style="2"/>
  </cols>
  <sheetData>
    <row r="1" spans="2:109" ht="25.5" customHeight="1" thickBot="1">
      <c r="B1" s="192" t="s">
        <v>18</v>
      </c>
      <c r="C1" s="192"/>
      <c r="D1" s="192"/>
      <c r="E1" s="192"/>
      <c r="F1" s="192"/>
      <c r="G1" s="192"/>
      <c r="H1" s="192"/>
      <c r="I1" s="192"/>
      <c r="J1" s="192"/>
      <c r="K1" s="192"/>
      <c r="L1" s="192"/>
    </row>
    <row r="2" spans="2:109" ht="17.25" customHeight="1" thickBot="1">
      <c r="B2" s="193"/>
      <c r="C2" s="193"/>
      <c r="D2" s="193"/>
      <c r="E2" s="193"/>
      <c r="F2" s="193"/>
      <c r="G2" s="193"/>
      <c r="H2" s="193"/>
      <c r="I2" s="193"/>
      <c r="J2" s="193"/>
      <c r="K2" s="193"/>
      <c r="L2" s="193"/>
      <c r="M2" s="191" t="s">
        <v>19</v>
      </c>
      <c r="N2" s="191"/>
      <c r="O2" s="191"/>
      <c r="P2" s="194"/>
      <c r="Q2" s="185" t="s">
        <v>20</v>
      </c>
      <c r="R2" s="186"/>
      <c r="S2" s="186"/>
      <c r="T2" s="186"/>
      <c r="U2" s="186"/>
      <c r="V2" s="186"/>
      <c r="W2" s="186"/>
      <c r="X2" s="186"/>
      <c r="Y2" s="186"/>
      <c r="Z2" s="186"/>
      <c r="AA2" s="186"/>
      <c r="AB2" s="186"/>
      <c r="AC2" s="186"/>
      <c r="AD2" s="186"/>
      <c r="AE2" s="186"/>
      <c r="AF2" s="186"/>
      <c r="AG2" s="186"/>
      <c r="AH2" s="186"/>
      <c r="AI2" s="186"/>
      <c r="AJ2" s="186"/>
      <c r="AK2" s="186"/>
      <c r="AL2" s="186"/>
      <c r="AM2" s="186"/>
      <c r="AN2" s="186"/>
      <c r="AO2" s="186"/>
      <c r="AP2" s="186"/>
      <c r="AQ2" s="186"/>
      <c r="AR2" s="186"/>
      <c r="AS2" s="186"/>
      <c r="AT2" s="186"/>
      <c r="AU2" s="190" t="s">
        <v>21</v>
      </c>
      <c r="AV2" s="191"/>
      <c r="AW2" s="191"/>
      <c r="AX2" s="191"/>
      <c r="AY2" s="191"/>
      <c r="AZ2" s="191"/>
      <c r="BA2" s="191"/>
      <c r="BB2" s="191"/>
      <c r="BC2" s="191"/>
      <c r="BD2" s="191"/>
      <c r="BE2" s="191"/>
      <c r="BF2" s="191"/>
      <c r="BG2" s="191"/>
      <c r="BH2" s="191"/>
      <c r="BI2" s="191"/>
      <c r="BJ2" s="191"/>
      <c r="BK2" s="191"/>
      <c r="BL2" s="191"/>
      <c r="BM2" s="191"/>
      <c r="BN2" s="191"/>
      <c r="BO2" s="191"/>
      <c r="BP2" s="191"/>
      <c r="BQ2" s="191"/>
      <c r="BR2" s="191"/>
      <c r="BS2" s="191"/>
      <c r="BT2" s="191"/>
      <c r="BU2" s="191"/>
      <c r="BV2" s="191"/>
      <c r="BW2" s="191"/>
      <c r="BX2" s="191"/>
      <c r="BY2" s="191"/>
      <c r="BZ2" s="185" t="s">
        <v>22</v>
      </c>
      <c r="CA2" s="186"/>
      <c r="CB2" s="186"/>
      <c r="CC2" s="186"/>
      <c r="CD2" s="186"/>
      <c r="CE2" s="186"/>
      <c r="CF2" s="186"/>
      <c r="CG2" s="186"/>
      <c r="CH2" s="186"/>
      <c r="CI2" s="186"/>
      <c r="CJ2" s="186"/>
      <c r="CK2" s="186"/>
      <c r="CL2" s="186"/>
      <c r="CM2" s="186"/>
      <c r="CN2" s="186"/>
      <c r="CO2" s="186"/>
      <c r="CP2" s="186"/>
      <c r="CQ2" s="186"/>
      <c r="CR2" s="186"/>
      <c r="CS2" s="186"/>
      <c r="CT2" s="186"/>
      <c r="CU2" s="186"/>
      <c r="CV2" s="186"/>
      <c r="CW2" s="186"/>
      <c r="CX2" s="186"/>
      <c r="CY2" s="186"/>
      <c r="CZ2" s="186"/>
      <c r="DA2" s="186"/>
      <c r="DB2" s="186"/>
      <c r="DC2" s="186"/>
      <c r="DD2" s="50"/>
      <c r="DE2" s="59"/>
    </row>
    <row r="3" spans="2:109" s="1" customFormat="1">
      <c r="B3" s="10" t="s">
        <v>23</v>
      </c>
      <c r="C3" s="11" t="s">
        <v>24</v>
      </c>
      <c r="D3" s="17" t="s">
        <v>25</v>
      </c>
      <c r="E3" s="12" t="s">
        <v>26</v>
      </c>
      <c r="F3" s="12" t="s">
        <v>27</v>
      </c>
      <c r="G3" s="12" t="s">
        <v>28</v>
      </c>
      <c r="H3" s="12" t="s">
        <v>29</v>
      </c>
      <c r="I3" s="12" t="s">
        <v>30</v>
      </c>
      <c r="J3" s="12" t="s">
        <v>31</v>
      </c>
      <c r="K3" s="12" t="s">
        <v>32</v>
      </c>
      <c r="L3" s="12" t="s">
        <v>33</v>
      </c>
      <c r="M3" s="13">
        <v>28</v>
      </c>
      <c r="N3" s="13">
        <v>29</v>
      </c>
      <c r="O3" s="13">
        <v>30</v>
      </c>
      <c r="P3" s="138">
        <v>31</v>
      </c>
      <c r="Q3" s="140">
        <v>1</v>
      </c>
      <c r="R3" s="15">
        <v>2</v>
      </c>
      <c r="S3" s="16">
        <v>3</v>
      </c>
      <c r="T3" s="13">
        <v>4</v>
      </c>
      <c r="U3" s="13">
        <v>5</v>
      </c>
      <c r="V3" s="13">
        <v>6</v>
      </c>
      <c r="W3" s="140">
        <v>7</v>
      </c>
      <c r="X3" s="140">
        <v>8</v>
      </c>
      <c r="Y3" s="15">
        <v>9</v>
      </c>
      <c r="Z3" s="16">
        <v>10</v>
      </c>
      <c r="AA3" s="13">
        <v>11</v>
      </c>
      <c r="AB3" s="13">
        <v>12</v>
      </c>
      <c r="AC3" s="13">
        <v>13</v>
      </c>
      <c r="AD3" s="140">
        <v>14</v>
      </c>
      <c r="AE3" s="140">
        <v>15</v>
      </c>
      <c r="AF3" s="15">
        <v>16</v>
      </c>
      <c r="AG3" s="16">
        <v>17</v>
      </c>
      <c r="AH3" s="13">
        <v>18</v>
      </c>
      <c r="AI3" s="13">
        <v>19</v>
      </c>
      <c r="AJ3" s="13">
        <v>20</v>
      </c>
      <c r="AK3" s="140">
        <v>21</v>
      </c>
      <c r="AL3" s="140">
        <v>22</v>
      </c>
      <c r="AM3" s="15">
        <v>23</v>
      </c>
      <c r="AN3" s="16">
        <v>24</v>
      </c>
      <c r="AO3" s="13">
        <v>25</v>
      </c>
      <c r="AP3" s="13">
        <v>26</v>
      </c>
      <c r="AQ3" s="13">
        <v>27</v>
      </c>
      <c r="AR3" s="140">
        <v>28</v>
      </c>
      <c r="AS3" s="140">
        <v>29</v>
      </c>
      <c r="AT3" s="15">
        <v>30</v>
      </c>
      <c r="AU3" s="16">
        <v>1</v>
      </c>
      <c r="AV3" s="13">
        <v>2</v>
      </c>
      <c r="AW3" s="13">
        <v>3</v>
      </c>
      <c r="AX3" s="13">
        <v>4</v>
      </c>
      <c r="AY3" s="140">
        <v>5</v>
      </c>
      <c r="AZ3" s="140">
        <v>6</v>
      </c>
      <c r="BA3" s="15">
        <v>7</v>
      </c>
      <c r="BB3" s="16">
        <v>8</v>
      </c>
      <c r="BC3" s="13">
        <v>9</v>
      </c>
      <c r="BD3" s="13">
        <v>10</v>
      </c>
      <c r="BE3" s="13">
        <v>11</v>
      </c>
      <c r="BF3" s="140">
        <v>12</v>
      </c>
      <c r="BG3" s="140">
        <v>13</v>
      </c>
      <c r="BH3" s="15">
        <v>14</v>
      </c>
      <c r="BI3" s="16">
        <v>15</v>
      </c>
      <c r="BJ3" s="13">
        <v>16</v>
      </c>
      <c r="BK3" s="13">
        <v>17</v>
      </c>
      <c r="BL3" s="13">
        <v>18</v>
      </c>
      <c r="BM3" s="140">
        <v>19</v>
      </c>
      <c r="BN3" s="140">
        <v>20</v>
      </c>
      <c r="BO3" s="15">
        <v>21</v>
      </c>
      <c r="BP3" s="16">
        <v>22</v>
      </c>
      <c r="BQ3" s="13">
        <v>23</v>
      </c>
      <c r="BR3" s="13">
        <v>24</v>
      </c>
      <c r="BS3" s="140">
        <v>25</v>
      </c>
      <c r="BT3" s="140">
        <v>26</v>
      </c>
      <c r="BU3" s="140">
        <v>27</v>
      </c>
      <c r="BV3" s="15">
        <v>28</v>
      </c>
      <c r="BW3" s="16">
        <v>29</v>
      </c>
      <c r="BX3" s="22">
        <v>30</v>
      </c>
      <c r="BY3" s="22">
        <v>31</v>
      </c>
      <c r="BZ3" s="140">
        <v>1</v>
      </c>
      <c r="CA3" s="140">
        <v>2</v>
      </c>
      <c r="CB3" s="140">
        <v>3</v>
      </c>
      <c r="CC3" s="15">
        <v>4</v>
      </c>
      <c r="CD3" s="16">
        <v>5</v>
      </c>
      <c r="CE3" s="13">
        <v>6</v>
      </c>
      <c r="CF3" s="13">
        <v>7</v>
      </c>
      <c r="CG3" s="13">
        <v>8</v>
      </c>
      <c r="CH3" s="140">
        <v>9</v>
      </c>
      <c r="CI3" s="140">
        <v>10</v>
      </c>
      <c r="CJ3" s="15">
        <v>11</v>
      </c>
      <c r="CK3" s="16">
        <v>12</v>
      </c>
      <c r="CL3" s="13">
        <v>13</v>
      </c>
      <c r="CM3" s="13">
        <v>14</v>
      </c>
      <c r="CN3" s="13">
        <v>15</v>
      </c>
      <c r="CO3" s="140">
        <v>16</v>
      </c>
      <c r="CP3" s="140">
        <v>17</v>
      </c>
      <c r="CQ3" s="15">
        <v>18</v>
      </c>
      <c r="CR3" s="16">
        <v>19</v>
      </c>
      <c r="CS3" s="13">
        <v>20</v>
      </c>
      <c r="CT3" s="13">
        <v>21</v>
      </c>
      <c r="CU3" s="13">
        <v>22</v>
      </c>
      <c r="CV3" s="140">
        <v>23</v>
      </c>
      <c r="CW3" s="140">
        <v>24</v>
      </c>
      <c r="CX3" s="15">
        <v>25</v>
      </c>
      <c r="CY3" s="16">
        <v>26</v>
      </c>
      <c r="CZ3" s="13">
        <v>27</v>
      </c>
      <c r="DA3" s="60">
        <v>28</v>
      </c>
      <c r="DB3" s="60">
        <v>29</v>
      </c>
      <c r="DC3" s="138">
        <v>30</v>
      </c>
      <c r="DD3" s="138">
        <v>31</v>
      </c>
      <c r="DE3" s="58" t="s">
        <v>34</v>
      </c>
    </row>
    <row r="4" spans="2:109">
      <c r="B4" s="187" t="s">
        <v>35</v>
      </c>
      <c r="C4" s="14">
        <v>1</v>
      </c>
      <c r="D4" s="101" t="s">
        <v>36</v>
      </c>
      <c r="E4" s="82" t="s">
        <v>37</v>
      </c>
      <c r="F4" s="83" t="s">
        <v>16</v>
      </c>
      <c r="G4" s="83" t="s">
        <v>38</v>
      </c>
      <c r="H4" s="83"/>
      <c r="I4" s="108">
        <f>0/L4</f>
        <v>0</v>
      </c>
      <c r="J4" s="84">
        <v>46328</v>
      </c>
      <c r="K4" s="84">
        <v>46329</v>
      </c>
      <c r="L4" s="114">
        <f>SUM(M4:DD4)</f>
        <v>2</v>
      </c>
      <c r="M4" s="124"/>
      <c r="N4" s="124"/>
      <c r="O4" s="124"/>
      <c r="P4" s="134"/>
      <c r="Q4" s="134"/>
      <c r="R4" s="147">
        <v>1</v>
      </c>
      <c r="S4" s="147">
        <v>1</v>
      </c>
      <c r="T4" s="125"/>
      <c r="U4" s="125"/>
      <c r="V4" s="125"/>
      <c r="W4" s="134"/>
      <c r="X4" s="134"/>
      <c r="Y4" s="125"/>
      <c r="Z4" s="125"/>
      <c r="AA4" s="125"/>
      <c r="AB4" s="125"/>
      <c r="AC4" s="125"/>
      <c r="AD4" s="134"/>
      <c r="AE4" s="134"/>
      <c r="AF4" s="125"/>
      <c r="AG4" s="125"/>
      <c r="AH4" s="125"/>
      <c r="AI4" s="125"/>
      <c r="AJ4" s="125"/>
      <c r="AK4" s="134"/>
      <c r="AL4" s="134"/>
      <c r="AM4" s="125"/>
      <c r="AN4" s="125"/>
      <c r="AO4" s="125"/>
      <c r="AP4" s="125"/>
      <c r="AQ4" s="125"/>
      <c r="AR4" s="134"/>
      <c r="AS4" s="134"/>
      <c r="AT4" s="125"/>
      <c r="AU4" s="125"/>
      <c r="AV4" s="125"/>
      <c r="AW4" s="125"/>
      <c r="AX4" s="125"/>
      <c r="AY4" s="134"/>
      <c r="AZ4" s="134"/>
      <c r="BA4" s="125"/>
      <c r="BB4" s="125"/>
      <c r="BC4" s="125"/>
      <c r="BD4" s="125"/>
      <c r="BE4" s="125"/>
      <c r="BF4" s="134"/>
      <c r="BG4" s="134"/>
      <c r="BH4" s="125"/>
      <c r="BI4" s="125"/>
      <c r="BJ4" s="125"/>
      <c r="BK4" s="125"/>
      <c r="BL4" s="125"/>
      <c r="BM4" s="134"/>
      <c r="BN4" s="134"/>
      <c r="BO4" s="125"/>
      <c r="BP4" s="125"/>
      <c r="BQ4" s="125"/>
      <c r="BR4" s="125"/>
      <c r="BS4" s="134"/>
      <c r="BT4" s="134"/>
      <c r="BU4" s="134"/>
      <c r="BV4" s="125"/>
      <c r="BW4" s="125"/>
      <c r="BX4" s="125"/>
      <c r="BY4" s="125"/>
      <c r="BZ4" s="134"/>
      <c r="CA4" s="134"/>
      <c r="CB4" s="134"/>
      <c r="CC4" s="125"/>
      <c r="CD4" s="125"/>
      <c r="CE4" s="125"/>
      <c r="CF4" s="125"/>
      <c r="CG4" s="125"/>
      <c r="CH4" s="134"/>
      <c r="CI4" s="134"/>
      <c r="CJ4" s="125"/>
      <c r="CK4" s="125"/>
      <c r="CL4" s="125"/>
      <c r="CM4" s="126"/>
      <c r="CN4" s="125"/>
      <c r="CO4" s="134"/>
      <c r="CP4" s="134"/>
      <c r="CQ4" s="125"/>
      <c r="CR4" s="125"/>
      <c r="CS4" s="125"/>
      <c r="CT4" s="125"/>
      <c r="CU4" s="125"/>
      <c r="CV4" s="134"/>
      <c r="CW4" s="134"/>
      <c r="CX4" s="125"/>
      <c r="CY4" s="125"/>
      <c r="CZ4" s="125"/>
      <c r="DA4" s="125"/>
      <c r="DB4" s="125"/>
      <c r="DC4" s="134"/>
      <c r="DD4" s="142"/>
      <c r="DE4" s="52"/>
    </row>
    <row r="5" spans="2:109">
      <c r="B5" s="188"/>
      <c r="C5" s="3">
        <v>1</v>
      </c>
      <c r="D5" s="102" t="s">
        <v>39</v>
      </c>
      <c r="E5" s="85" t="s">
        <v>40</v>
      </c>
      <c r="F5" s="86" t="s">
        <v>16</v>
      </c>
      <c r="G5" s="86" t="s">
        <v>41</v>
      </c>
      <c r="H5" s="86"/>
      <c r="I5" s="109">
        <f>0/L5</f>
        <v>0</v>
      </c>
      <c r="J5" s="87">
        <v>46329</v>
      </c>
      <c r="K5" s="87">
        <v>46332</v>
      </c>
      <c r="L5" s="115">
        <f>SUM(M5:DD5)</f>
        <v>4</v>
      </c>
      <c r="M5" s="127"/>
      <c r="N5" s="127"/>
      <c r="O5" s="124"/>
      <c r="P5" s="135"/>
      <c r="Q5" s="139"/>
      <c r="R5" s="127"/>
      <c r="S5" s="148">
        <v>1</v>
      </c>
      <c r="T5" s="148">
        <v>1</v>
      </c>
      <c r="U5" s="148">
        <v>1</v>
      </c>
      <c r="V5" s="148">
        <v>1</v>
      </c>
      <c r="W5" s="139"/>
      <c r="X5" s="139"/>
      <c r="Y5" s="127"/>
      <c r="Z5" s="127"/>
      <c r="AA5" s="127"/>
      <c r="AB5" s="127"/>
      <c r="AC5" s="127"/>
      <c r="AD5" s="139"/>
      <c r="AE5" s="139"/>
      <c r="AF5" s="127"/>
      <c r="AG5" s="127"/>
      <c r="AH5" s="127"/>
      <c r="AI5" s="127"/>
      <c r="AJ5" s="127"/>
      <c r="AK5" s="139"/>
      <c r="AL5" s="139"/>
      <c r="AM5" s="127"/>
      <c r="AN5" s="127"/>
      <c r="AO5" s="127"/>
      <c r="AP5" s="127"/>
      <c r="AQ5" s="127"/>
      <c r="AR5" s="139"/>
      <c r="AS5" s="139"/>
      <c r="AT5" s="127"/>
      <c r="AU5" s="127"/>
      <c r="AV5" s="127"/>
      <c r="AW5" s="127"/>
      <c r="AX5" s="127"/>
      <c r="AY5" s="139"/>
      <c r="AZ5" s="139"/>
      <c r="BA5" s="127"/>
      <c r="BB5" s="127"/>
      <c r="BC5" s="127"/>
      <c r="BD5" s="127"/>
      <c r="BE5" s="127"/>
      <c r="BF5" s="139"/>
      <c r="BG5" s="139"/>
      <c r="BH5" s="127"/>
      <c r="BI5" s="127"/>
      <c r="BJ5" s="127"/>
      <c r="BK5" s="127"/>
      <c r="BL5" s="127"/>
      <c r="BM5" s="139"/>
      <c r="BN5" s="139"/>
      <c r="BO5" s="127"/>
      <c r="BP5" s="127"/>
      <c r="BQ5" s="127"/>
      <c r="BR5" s="127"/>
      <c r="BS5" s="139"/>
      <c r="BT5" s="139"/>
      <c r="BU5" s="139"/>
      <c r="BV5" s="127"/>
      <c r="BW5" s="127"/>
      <c r="BX5" s="127"/>
      <c r="BY5" s="127"/>
      <c r="BZ5" s="139"/>
      <c r="CA5" s="139"/>
      <c r="CB5" s="139"/>
      <c r="CC5" s="127"/>
      <c r="CD5" s="127"/>
      <c r="CE5" s="127"/>
      <c r="CF5" s="127"/>
      <c r="CG5" s="127"/>
      <c r="CH5" s="139"/>
      <c r="CI5" s="139"/>
      <c r="CJ5" s="127"/>
      <c r="CK5" s="127"/>
      <c r="CL5" s="127"/>
      <c r="CM5" s="127"/>
      <c r="CN5" s="127"/>
      <c r="CO5" s="139"/>
      <c r="CP5" s="139"/>
      <c r="CQ5" s="127"/>
      <c r="CR5" s="127"/>
      <c r="CS5" s="127"/>
      <c r="CT5" s="127"/>
      <c r="CU5" s="127"/>
      <c r="CV5" s="139"/>
      <c r="CW5" s="139"/>
      <c r="CX5" s="127"/>
      <c r="CY5" s="127"/>
      <c r="CZ5" s="127"/>
      <c r="DA5" s="127"/>
      <c r="DB5" s="127"/>
      <c r="DC5" s="139"/>
      <c r="DD5" s="143"/>
      <c r="DE5" s="53"/>
    </row>
    <row r="6" spans="2:109">
      <c r="B6" s="188"/>
      <c r="C6" s="3">
        <v>1</v>
      </c>
      <c r="D6" s="102" t="s">
        <v>42</v>
      </c>
      <c r="E6" s="85" t="s">
        <v>43</v>
      </c>
      <c r="F6" s="86" t="s">
        <v>44</v>
      </c>
      <c r="G6" s="86" t="s">
        <v>45</v>
      </c>
      <c r="H6" s="86"/>
      <c r="I6" s="109">
        <f>0/L6</f>
        <v>0</v>
      </c>
      <c r="J6" s="87">
        <v>46330</v>
      </c>
      <c r="K6" s="87">
        <v>46332</v>
      </c>
      <c r="L6" s="115">
        <f>SUM(M6:DD6)</f>
        <v>3</v>
      </c>
      <c r="M6" s="127"/>
      <c r="N6" s="127"/>
      <c r="O6" s="127"/>
      <c r="P6" s="135"/>
      <c r="Q6" s="139"/>
      <c r="R6" s="127"/>
      <c r="S6" s="127"/>
      <c r="T6" s="148">
        <v>1</v>
      </c>
      <c r="U6" s="148">
        <v>1</v>
      </c>
      <c r="V6" s="148">
        <v>1</v>
      </c>
      <c r="W6" s="139"/>
      <c r="X6" s="139"/>
      <c r="Y6" s="127"/>
      <c r="Z6" s="127"/>
      <c r="AA6" s="127"/>
      <c r="AB6" s="127"/>
      <c r="AC6" s="127"/>
      <c r="AD6" s="139"/>
      <c r="AE6" s="139"/>
      <c r="AF6" s="127"/>
      <c r="AG6" s="127"/>
      <c r="AH6" s="127"/>
      <c r="AI6" s="127"/>
      <c r="AJ6" s="127"/>
      <c r="AK6" s="139"/>
      <c r="AL6" s="139"/>
      <c r="AM6" s="127"/>
      <c r="AN6" s="127"/>
      <c r="AO6" s="127"/>
      <c r="AP6" s="127"/>
      <c r="AQ6" s="127"/>
      <c r="AR6" s="139"/>
      <c r="AS6" s="139"/>
      <c r="AT6" s="127"/>
      <c r="AU6" s="127"/>
      <c r="AV6" s="127"/>
      <c r="AW6" s="127"/>
      <c r="AX6" s="127"/>
      <c r="AY6" s="139"/>
      <c r="AZ6" s="139"/>
      <c r="BA6" s="127"/>
      <c r="BB6" s="127"/>
      <c r="BC6" s="127"/>
      <c r="BD6" s="127"/>
      <c r="BE6" s="127"/>
      <c r="BF6" s="139"/>
      <c r="BG6" s="139"/>
      <c r="BH6" s="127"/>
      <c r="BI6" s="127"/>
      <c r="BJ6" s="127"/>
      <c r="BK6" s="127"/>
      <c r="BL6" s="127"/>
      <c r="BM6" s="139"/>
      <c r="BN6" s="139"/>
      <c r="BO6" s="127"/>
      <c r="BP6" s="127"/>
      <c r="BQ6" s="127"/>
      <c r="BR6" s="127"/>
      <c r="BS6" s="139"/>
      <c r="BT6" s="139"/>
      <c r="BU6" s="139"/>
      <c r="BV6" s="127"/>
      <c r="BW6" s="127"/>
      <c r="BX6" s="127"/>
      <c r="BY6" s="127"/>
      <c r="BZ6" s="139"/>
      <c r="CA6" s="139"/>
      <c r="CB6" s="139"/>
      <c r="CC6" s="127"/>
      <c r="CD6" s="127"/>
      <c r="CE6" s="127"/>
      <c r="CF6" s="127"/>
      <c r="CG6" s="127"/>
      <c r="CH6" s="139"/>
      <c r="CI6" s="139"/>
      <c r="CJ6" s="127"/>
      <c r="CK6" s="127"/>
      <c r="CL6" s="127"/>
      <c r="CM6" s="127"/>
      <c r="CN6" s="127"/>
      <c r="CO6" s="139"/>
      <c r="CP6" s="139"/>
      <c r="CQ6" s="127"/>
      <c r="CR6" s="127"/>
      <c r="CS6" s="127"/>
      <c r="CT6" s="127"/>
      <c r="CU6" s="127"/>
      <c r="CV6" s="139"/>
      <c r="CW6" s="139"/>
      <c r="CX6" s="127"/>
      <c r="CY6" s="127"/>
      <c r="CZ6" s="127"/>
      <c r="DA6" s="127"/>
      <c r="DB6" s="127"/>
      <c r="DC6" s="139"/>
      <c r="DD6" s="143"/>
      <c r="DE6" s="53"/>
    </row>
    <row r="7" spans="2:109">
      <c r="B7" s="188"/>
      <c r="C7" s="3">
        <v>1</v>
      </c>
      <c r="D7" s="102" t="s">
        <v>46</v>
      </c>
      <c r="E7" s="85" t="s">
        <v>47</v>
      </c>
      <c r="F7" s="86" t="s">
        <v>44</v>
      </c>
      <c r="G7" s="86" t="s">
        <v>48</v>
      </c>
      <c r="H7" s="86"/>
      <c r="I7" s="109">
        <f>0/L7</f>
        <v>0</v>
      </c>
      <c r="J7" s="87">
        <v>46332</v>
      </c>
      <c r="K7" s="87">
        <v>46335</v>
      </c>
      <c r="L7" s="115">
        <f>SUM(M7:DD7)</f>
        <v>2</v>
      </c>
      <c r="M7" s="127"/>
      <c r="N7" s="127"/>
      <c r="O7" s="127"/>
      <c r="P7" s="135"/>
      <c r="Q7" s="135"/>
      <c r="R7" s="127"/>
      <c r="S7" s="127"/>
      <c r="T7" s="127"/>
      <c r="U7" s="127"/>
      <c r="V7" s="148">
        <v>1</v>
      </c>
      <c r="W7" s="139"/>
      <c r="X7" s="139"/>
      <c r="Y7" s="148">
        <v>1</v>
      </c>
      <c r="Z7" s="127"/>
      <c r="AA7" s="127"/>
      <c r="AB7" s="127"/>
      <c r="AC7" s="127"/>
      <c r="AD7" s="139"/>
      <c r="AE7" s="139"/>
      <c r="AF7" s="127"/>
      <c r="AG7" s="127"/>
      <c r="AH7" s="127"/>
      <c r="AI7" s="127"/>
      <c r="AJ7" s="127"/>
      <c r="AK7" s="139"/>
      <c r="AL7" s="139"/>
      <c r="AM7" s="127"/>
      <c r="AN7" s="127"/>
      <c r="AO7" s="127"/>
      <c r="AP7" s="127"/>
      <c r="AQ7" s="127"/>
      <c r="AR7" s="139"/>
      <c r="AS7" s="139"/>
      <c r="AT7" s="127"/>
      <c r="AU7" s="127"/>
      <c r="AV7" s="127"/>
      <c r="AW7" s="127"/>
      <c r="AX7" s="127"/>
      <c r="AY7" s="139"/>
      <c r="AZ7" s="139"/>
      <c r="BA7" s="127"/>
      <c r="BB7" s="127"/>
      <c r="BC7" s="127"/>
      <c r="BD7" s="127"/>
      <c r="BE7" s="127"/>
      <c r="BF7" s="139"/>
      <c r="BG7" s="139"/>
      <c r="BH7" s="127"/>
      <c r="BI7" s="127"/>
      <c r="BJ7" s="127"/>
      <c r="BK7" s="127"/>
      <c r="BL7" s="127"/>
      <c r="BM7" s="139"/>
      <c r="BN7" s="139"/>
      <c r="BO7" s="127"/>
      <c r="BP7" s="127"/>
      <c r="BQ7" s="127"/>
      <c r="BR7" s="127"/>
      <c r="BS7" s="139"/>
      <c r="BT7" s="139"/>
      <c r="BU7" s="139"/>
      <c r="BV7" s="127"/>
      <c r="BW7" s="127"/>
      <c r="BX7" s="127"/>
      <c r="BY7" s="127"/>
      <c r="BZ7" s="139"/>
      <c r="CA7" s="139"/>
      <c r="CB7" s="139"/>
      <c r="CC7" s="127"/>
      <c r="CD7" s="127"/>
      <c r="CE7" s="127"/>
      <c r="CF7" s="127"/>
      <c r="CG7" s="127"/>
      <c r="CH7" s="139"/>
      <c r="CI7" s="139"/>
      <c r="CJ7" s="127"/>
      <c r="CK7" s="127"/>
      <c r="CL7" s="127"/>
      <c r="CM7" s="127"/>
      <c r="CN7" s="127"/>
      <c r="CO7" s="139"/>
      <c r="CP7" s="139"/>
      <c r="CQ7" s="127"/>
      <c r="CR7" s="127"/>
      <c r="CS7" s="127"/>
      <c r="CT7" s="127"/>
      <c r="CU7" s="127"/>
      <c r="CV7" s="139"/>
      <c r="CW7" s="139"/>
      <c r="CX7" s="127"/>
      <c r="CY7" s="127"/>
      <c r="CZ7" s="127"/>
      <c r="DA7" s="127"/>
      <c r="DB7" s="127"/>
      <c r="DC7" s="139"/>
      <c r="DD7" s="143"/>
      <c r="DE7" s="53"/>
    </row>
    <row r="8" spans="2:109" ht="14.25" customHeight="1">
      <c r="B8" s="189"/>
      <c r="C8" s="6">
        <v>1</v>
      </c>
      <c r="D8" s="103" t="s">
        <v>49</v>
      </c>
      <c r="E8" s="88" t="s">
        <v>50</v>
      </c>
      <c r="F8" s="89" t="s">
        <v>16</v>
      </c>
      <c r="G8" s="89" t="s">
        <v>51</v>
      </c>
      <c r="H8" s="89"/>
      <c r="I8" s="110">
        <f>0/L8</f>
        <v>0</v>
      </c>
      <c r="J8" s="90">
        <v>46336</v>
      </c>
      <c r="K8" s="90">
        <v>46336</v>
      </c>
      <c r="L8" s="116">
        <f>SUM(M8:DD8)</f>
        <v>1</v>
      </c>
      <c r="M8" s="128"/>
      <c r="N8" s="128"/>
      <c r="O8" s="128"/>
      <c r="P8" s="135"/>
      <c r="Q8" s="135"/>
      <c r="R8" s="128"/>
      <c r="S8" s="128"/>
      <c r="T8" s="128"/>
      <c r="U8" s="128"/>
      <c r="V8" s="128"/>
      <c r="W8" s="137"/>
      <c r="X8" s="137"/>
      <c r="Y8" s="128"/>
      <c r="Z8" s="149">
        <v>1</v>
      </c>
      <c r="AA8" s="128"/>
      <c r="AB8" s="128"/>
      <c r="AC8" s="128"/>
      <c r="AD8" s="137"/>
      <c r="AE8" s="137"/>
      <c r="AF8" s="128"/>
      <c r="AG8" s="128"/>
      <c r="AH8" s="128"/>
      <c r="AI8" s="128"/>
      <c r="AJ8" s="128"/>
      <c r="AK8" s="137"/>
      <c r="AL8" s="137"/>
      <c r="AM8" s="128"/>
      <c r="AN8" s="128"/>
      <c r="AO8" s="128"/>
      <c r="AP8" s="128"/>
      <c r="AQ8" s="128"/>
      <c r="AR8" s="137"/>
      <c r="AS8" s="137"/>
      <c r="AT8" s="128"/>
      <c r="AU8" s="128"/>
      <c r="AV8" s="128"/>
      <c r="AW8" s="128"/>
      <c r="AX8" s="128"/>
      <c r="AY8" s="137"/>
      <c r="AZ8" s="137"/>
      <c r="BA8" s="128"/>
      <c r="BB8" s="128"/>
      <c r="BC8" s="128"/>
      <c r="BD8" s="128"/>
      <c r="BE8" s="128"/>
      <c r="BF8" s="137"/>
      <c r="BG8" s="137"/>
      <c r="BH8" s="128"/>
      <c r="BI8" s="128"/>
      <c r="BJ8" s="128"/>
      <c r="BK8" s="128"/>
      <c r="BL8" s="128"/>
      <c r="BM8" s="137"/>
      <c r="BN8" s="137"/>
      <c r="BO8" s="128"/>
      <c r="BP8" s="128"/>
      <c r="BQ8" s="128"/>
      <c r="BR8" s="128"/>
      <c r="BS8" s="137"/>
      <c r="BT8" s="137"/>
      <c r="BU8" s="137"/>
      <c r="BV8" s="128"/>
      <c r="BW8" s="128"/>
      <c r="BX8" s="128"/>
      <c r="BY8" s="128"/>
      <c r="BZ8" s="137"/>
      <c r="CA8" s="137"/>
      <c r="CB8" s="137"/>
      <c r="CC8" s="128"/>
      <c r="CD8" s="128"/>
      <c r="CE8" s="128"/>
      <c r="CF8" s="128"/>
      <c r="CG8" s="128"/>
      <c r="CH8" s="137"/>
      <c r="CI8" s="137"/>
      <c r="CJ8" s="128"/>
      <c r="CK8" s="128"/>
      <c r="CL8" s="128"/>
      <c r="CM8" s="129"/>
      <c r="CN8" s="128"/>
      <c r="CO8" s="137"/>
      <c r="CP8" s="137"/>
      <c r="CQ8" s="128"/>
      <c r="CR8" s="128"/>
      <c r="CS8" s="128"/>
      <c r="CT8" s="128"/>
      <c r="CU8" s="128"/>
      <c r="CV8" s="137"/>
      <c r="CW8" s="137"/>
      <c r="CX8" s="128"/>
      <c r="CY8" s="128"/>
      <c r="CZ8" s="128"/>
      <c r="DA8" s="128"/>
      <c r="DB8" s="128"/>
      <c r="DC8" s="137"/>
      <c r="DD8" s="144"/>
      <c r="DE8" s="54"/>
    </row>
    <row r="9" spans="2:109">
      <c r="B9" s="187" t="s">
        <v>52</v>
      </c>
      <c r="C9" s="8">
        <v>1</v>
      </c>
      <c r="D9" s="104" t="s">
        <v>53</v>
      </c>
      <c r="E9" s="85" t="s">
        <v>54</v>
      </c>
      <c r="F9" s="91" t="s">
        <v>55</v>
      </c>
      <c r="G9" s="91" t="s">
        <v>56</v>
      </c>
      <c r="H9" s="91"/>
      <c r="I9" s="108">
        <f>0/L9</f>
        <v>0</v>
      </c>
      <c r="J9" s="84">
        <v>46337</v>
      </c>
      <c r="K9" s="84">
        <v>46343</v>
      </c>
      <c r="L9" s="114">
        <f>SUM(M9:DD9)</f>
        <v>5</v>
      </c>
      <c r="M9" s="130"/>
      <c r="N9" s="130"/>
      <c r="O9" s="130"/>
      <c r="P9" s="135"/>
      <c r="Q9" s="135"/>
      <c r="R9" s="130"/>
      <c r="S9" s="130"/>
      <c r="T9" s="124"/>
      <c r="U9" s="130"/>
      <c r="V9" s="130"/>
      <c r="W9" s="136"/>
      <c r="X9" s="136"/>
      <c r="Y9" s="130"/>
      <c r="Z9" s="130"/>
      <c r="AA9" s="150">
        <v>1</v>
      </c>
      <c r="AB9" s="150">
        <v>1</v>
      </c>
      <c r="AC9" s="150">
        <v>1</v>
      </c>
      <c r="AD9" s="136"/>
      <c r="AE9" s="136"/>
      <c r="AF9" s="150">
        <v>1</v>
      </c>
      <c r="AG9" s="150">
        <v>1</v>
      </c>
      <c r="AH9" s="130"/>
      <c r="AI9" s="130"/>
      <c r="AJ9" s="130"/>
      <c r="AK9" s="136"/>
      <c r="AL9" s="136"/>
      <c r="AM9" s="130"/>
      <c r="AN9" s="130"/>
      <c r="AO9" s="130"/>
      <c r="AP9" s="130"/>
      <c r="AQ9" s="130"/>
      <c r="AR9" s="136"/>
      <c r="AS9" s="136"/>
      <c r="AT9" s="130"/>
      <c r="AU9" s="130"/>
      <c r="AV9" s="130"/>
      <c r="AW9" s="130"/>
      <c r="AX9" s="130"/>
      <c r="AY9" s="136"/>
      <c r="AZ9" s="136"/>
      <c r="BA9" s="130"/>
      <c r="BB9" s="130"/>
      <c r="BC9" s="130"/>
      <c r="BD9" s="130"/>
      <c r="BE9" s="130"/>
      <c r="BF9" s="136"/>
      <c r="BG9" s="136"/>
      <c r="BH9" s="130"/>
      <c r="BI9" s="130"/>
      <c r="BJ9" s="130"/>
      <c r="BK9" s="130"/>
      <c r="BL9" s="130"/>
      <c r="BM9" s="136"/>
      <c r="BN9" s="136"/>
      <c r="BO9" s="130"/>
      <c r="BP9" s="130"/>
      <c r="BQ9" s="130"/>
      <c r="BR9" s="130"/>
      <c r="BS9" s="136"/>
      <c r="BT9" s="136"/>
      <c r="BU9" s="136"/>
      <c r="BV9" s="130"/>
      <c r="BW9" s="130"/>
      <c r="BX9" s="130"/>
      <c r="BY9" s="130"/>
      <c r="BZ9" s="136"/>
      <c r="CA9" s="136"/>
      <c r="CB9" s="136"/>
      <c r="CC9" s="130"/>
      <c r="CD9" s="130"/>
      <c r="CE9" s="130"/>
      <c r="CF9" s="130"/>
      <c r="CG9" s="130"/>
      <c r="CH9" s="136"/>
      <c r="CI9" s="136"/>
      <c r="CJ9" s="130"/>
      <c r="CK9" s="130"/>
      <c r="CL9" s="130"/>
      <c r="CM9" s="131"/>
      <c r="CN9" s="130"/>
      <c r="CO9" s="136"/>
      <c r="CP9" s="136"/>
      <c r="CQ9" s="130"/>
      <c r="CR9" s="130"/>
      <c r="CS9" s="130"/>
      <c r="CT9" s="130"/>
      <c r="CU9" s="130"/>
      <c r="CV9" s="136"/>
      <c r="CW9" s="136"/>
      <c r="CX9" s="130"/>
      <c r="CY9" s="130"/>
      <c r="CZ9" s="130"/>
      <c r="DA9" s="130"/>
      <c r="DB9" s="130"/>
      <c r="DC9" s="136"/>
      <c r="DD9" s="145"/>
      <c r="DE9" s="55"/>
    </row>
    <row r="10" spans="2:109">
      <c r="B10" s="188"/>
      <c r="C10" s="8">
        <v>1</v>
      </c>
      <c r="D10" s="104" t="s">
        <v>57</v>
      </c>
      <c r="E10" s="85" t="s">
        <v>58</v>
      </c>
      <c r="F10" s="91" t="s">
        <v>44</v>
      </c>
      <c r="G10" s="91" t="s">
        <v>59</v>
      </c>
      <c r="H10" s="91"/>
      <c r="I10" s="109">
        <f>0/L10</f>
        <v>0</v>
      </c>
      <c r="J10" s="87">
        <v>46339</v>
      </c>
      <c r="K10" s="87">
        <v>46345</v>
      </c>
      <c r="L10" s="115">
        <f>SUM(M10:DD10)</f>
        <v>5</v>
      </c>
      <c r="M10" s="130"/>
      <c r="N10" s="130"/>
      <c r="O10" s="130"/>
      <c r="P10" s="136"/>
      <c r="Q10" s="136"/>
      <c r="R10" s="130"/>
      <c r="S10" s="130"/>
      <c r="T10" s="124"/>
      <c r="U10" s="124"/>
      <c r="V10" s="124"/>
      <c r="W10" s="136"/>
      <c r="X10" s="136"/>
      <c r="Y10" s="130"/>
      <c r="Z10" s="130"/>
      <c r="AA10" s="130"/>
      <c r="AB10" s="130"/>
      <c r="AC10" s="150">
        <v>1</v>
      </c>
      <c r="AD10" s="136"/>
      <c r="AE10" s="136"/>
      <c r="AF10" s="150">
        <v>1</v>
      </c>
      <c r="AG10" s="150">
        <v>1</v>
      </c>
      <c r="AH10" s="150">
        <v>1</v>
      </c>
      <c r="AI10" s="150">
        <v>1</v>
      </c>
      <c r="AJ10" s="130"/>
      <c r="AK10" s="136"/>
      <c r="AL10" s="136"/>
      <c r="AM10" s="130"/>
      <c r="AN10" s="130"/>
      <c r="AO10" s="130"/>
      <c r="AP10" s="130"/>
      <c r="AQ10" s="130"/>
      <c r="AR10" s="136"/>
      <c r="AS10" s="136"/>
      <c r="AT10" s="130"/>
      <c r="AU10" s="130"/>
      <c r="AV10" s="130"/>
      <c r="AW10" s="130"/>
      <c r="AX10" s="130"/>
      <c r="AY10" s="136"/>
      <c r="AZ10" s="136"/>
      <c r="BA10" s="130"/>
      <c r="BB10" s="130"/>
      <c r="BC10" s="130"/>
      <c r="BD10" s="130"/>
      <c r="BE10" s="130"/>
      <c r="BF10" s="136"/>
      <c r="BG10" s="136"/>
      <c r="BH10" s="130"/>
      <c r="BI10" s="130"/>
      <c r="BJ10" s="130"/>
      <c r="BK10" s="130"/>
      <c r="BL10" s="130"/>
      <c r="BM10" s="136"/>
      <c r="BN10" s="136"/>
      <c r="BO10" s="130"/>
      <c r="BP10" s="130"/>
      <c r="BQ10" s="130"/>
      <c r="BR10" s="130"/>
      <c r="BS10" s="136"/>
      <c r="BT10" s="136"/>
      <c r="BU10" s="136"/>
      <c r="BV10" s="130"/>
      <c r="BW10" s="130"/>
      <c r="BX10" s="130"/>
      <c r="BY10" s="130"/>
      <c r="BZ10" s="136"/>
      <c r="CA10" s="136"/>
      <c r="CB10" s="136"/>
      <c r="CC10" s="130"/>
      <c r="CD10" s="130"/>
      <c r="CE10" s="130"/>
      <c r="CF10" s="130"/>
      <c r="CG10" s="130"/>
      <c r="CH10" s="136"/>
      <c r="CI10" s="136"/>
      <c r="CJ10" s="130"/>
      <c r="CK10" s="130"/>
      <c r="CL10" s="130"/>
      <c r="CM10" s="131"/>
      <c r="CN10" s="130"/>
      <c r="CO10" s="136"/>
      <c r="CP10" s="136"/>
      <c r="CQ10" s="130"/>
      <c r="CR10" s="130"/>
      <c r="CS10" s="130"/>
      <c r="CT10" s="130"/>
      <c r="CU10" s="130"/>
      <c r="CV10" s="136"/>
      <c r="CW10" s="136"/>
      <c r="CX10" s="130"/>
      <c r="CY10" s="130"/>
      <c r="CZ10" s="130"/>
      <c r="DA10" s="130"/>
      <c r="DB10" s="130"/>
      <c r="DC10" s="136"/>
      <c r="DD10" s="145"/>
      <c r="DE10" s="55"/>
    </row>
    <row r="11" spans="2:109">
      <c r="B11" s="188"/>
      <c r="C11" s="8">
        <v>1</v>
      </c>
      <c r="D11" s="104" t="s">
        <v>60</v>
      </c>
      <c r="E11" s="85" t="s">
        <v>61</v>
      </c>
      <c r="F11" s="91" t="s">
        <v>62</v>
      </c>
      <c r="G11" s="91" t="s">
        <v>63</v>
      </c>
      <c r="H11" s="91"/>
      <c r="I11" s="109">
        <f>0/L11</f>
        <v>0</v>
      </c>
      <c r="J11" s="87">
        <v>46342</v>
      </c>
      <c r="K11" s="87">
        <v>46346</v>
      </c>
      <c r="L11" s="115">
        <f>SUM(M11:DD11)</f>
        <v>5</v>
      </c>
      <c r="M11" s="130"/>
      <c r="N11" s="130"/>
      <c r="O11" s="130"/>
      <c r="P11" s="136"/>
      <c r="Q11" s="136"/>
      <c r="R11" s="130"/>
      <c r="S11" s="130"/>
      <c r="T11" s="130"/>
      <c r="U11" s="130"/>
      <c r="V11" s="130"/>
      <c r="W11" s="136"/>
      <c r="X11" s="136"/>
      <c r="Y11" s="130"/>
      <c r="Z11" s="130"/>
      <c r="AA11" s="130"/>
      <c r="AB11" s="130"/>
      <c r="AC11" s="130"/>
      <c r="AD11" s="136"/>
      <c r="AE11" s="136"/>
      <c r="AF11" s="150">
        <v>1</v>
      </c>
      <c r="AG11" s="150">
        <v>1</v>
      </c>
      <c r="AH11" s="150">
        <v>1</v>
      </c>
      <c r="AI11" s="150">
        <v>1</v>
      </c>
      <c r="AJ11" s="150">
        <v>1</v>
      </c>
      <c r="AK11" s="136"/>
      <c r="AL11" s="136"/>
      <c r="AM11" s="130"/>
      <c r="AN11" s="130"/>
      <c r="AO11" s="130"/>
      <c r="AP11" s="130"/>
      <c r="AQ11" s="130"/>
      <c r="AR11" s="136"/>
      <c r="AS11" s="136"/>
      <c r="AT11" s="130"/>
      <c r="AU11" s="130"/>
      <c r="AV11" s="130"/>
      <c r="AW11" s="130"/>
      <c r="AX11" s="130"/>
      <c r="AY11" s="136"/>
      <c r="AZ11" s="136"/>
      <c r="BA11" s="130"/>
      <c r="BB11" s="130"/>
      <c r="BC11" s="130"/>
      <c r="BD11" s="130"/>
      <c r="BE11" s="130"/>
      <c r="BF11" s="136"/>
      <c r="BG11" s="136"/>
      <c r="BH11" s="130"/>
      <c r="BI11" s="130"/>
      <c r="BJ11" s="130"/>
      <c r="BK11" s="130"/>
      <c r="BL11" s="130"/>
      <c r="BM11" s="136"/>
      <c r="BN11" s="136"/>
      <c r="BO11" s="130"/>
      <c r="BP11" s="130"/>
      <c r="BQ11" s="130"/>
      <c r="BR11" s="130"/>
      <c r="BS11" s="136"/>
      <c r="BT11" s="136"/>
      <c r="BU11" s="136"/>
      <c r="BV11" s="130"/>
      <c r="BW11" s="130"/>
      <c r="BX11" s="130"/>
      <c r="BY11" s="130"/>
      <c r="BZ11" s="136"/>
      <c r="CA11" s="136"/>
      <c r="CB11" s="136"/>
      <c r="CC11" s="130"/>
      <c r="CD11" s="130"/>
      <c r="CE11" s="130"/>
      <c r="CF11" s="130"/>
      <c r="CG11" s="130"/>
      <c r="CH11" s="136"/>
      <c r="CI11" s="136"/>
      <c r="CJ11" s="130"/>
      <c r="CK11" s="130"/>
      <c r="CL11" s="130"/>
      <c r="CM11" s="131"/>
      <c r="CN11" s="130"/>
      <c r="CO11" s="136"/>
      <c r="CP11" s="136"/>
      <c r="CQ11" s="130"/>
      <c r="CR11" s="130"/>
      <c r="CS11" s="130"/>
      <c r="CT11" s="130"/>
      <c r="CU11" s="130"/>
      <c r="CV11" s="136"/>
      <c r="CW11" s="136"/>
      <c r="CX11" s="130"/>
      <c r="CY11" s="130"/>
      <c r="CZ11" s="130"/>
      <c r="DA11" s="130"/>
      <c r="DB11" s="130"/>
      <c r="DC11" s="136"/>
      <c r="DD11" s="145"/>
      <c r="DE11" s="55"/>
    </row>
    <row r="12" spans="2:109">
      <c r="B12" s="188"/>
      <c r="C12" s="8">
        <v>1</v>
      </c>
      <c r="D12" s="104" t="s">
        <v>64</v>
      </c>
      <c r="E12" s="85" t="s">
        <v>65</v>
      </c>
      <c r="F12" s="91" t="s">
        <v>66</v>
      </c>
      <c r="G12" s="91" t="s">
        <v>67</v>
      </c>
      <c r="H12" s="91"/>
      <c r="I12" s="109">
        <f>0/L12</f>
        <v>0</v>
      </c>
      <c r="J12" s="87">
        <v>46344</v>
      </c>
      <c r="K12" s="87">
        <v>46349</v>
      </c>
      <c r="L12" s="115">
        <f>SUM(M12:DD12)</f>
        <v>4</v>
      </c>
      <c r="M12" s="130"/>
      <c r="N12" s="130"/>
      <c r="O12" s="130"/>
      <c r="P12" s="136"/>
      <c r="Q12" s="136"/>
      <c r="R12" s="130"/>
      <c r="S12" s="130"/>
      <c r="T12" s="130"/>
      <c r="U12" s="130"/>
      <c r="V12" s="130"/>
      <c r="W12" s="135"/>
      <c r="X12" s="136"/>
      <c r="Y12" s="130"/>
      <c r="Z12" s="130"/>
      <c r="AA12" s="130"/>
      <c r="AB12" s="130"/>
      <c r="AC12" s="130"/>
      <c r="AD12" s="136"/>
      <c r="AE12" s="136"/>
      <c r="AF12" s="130"/>
      <c r="AG12" s="130"/>
      <c r="AH12" s="150">
        <v>1</v>
      </c>
      <c r="AI12" s="150">
        <v>1</v>
      </c>
      <c r="AJ12" s="150">
        <v>1</v>
      </c>
      <c r="AK12" s="136"/>
      <c r="AL12" s="136"/>
      <c r="AM12" s="150">
        <v>1</v>
      </c>
      <c r="AN12" s="130"/>
      <c r="AO12" s="130"/>
      <c r="AP12" s="130"/>
      <c r="AQ12" s="130"/>
      <c r="AR12" s="136"/>
      <c r="AS12" s="136"/>
      <c r="AT12" s="130"/>
      <c r="AU12" s="130"/>
      <c r="AV12" s="130"/>
      <c r="AW12" s="130"/>
      <c r="AX12" s="130"/>
      <c r="AY12" s="136"/>
      <c r="AZ12" s="136"/>
      <c r="BA12" s="130"/>
      <c r="BB12" s="130"/>
      <c r="BC12" s="130"/>
      <c r="BD12" s="130"/>
      <c r="BE12" s="130"/>
      <c r="BF12" s="136"/>
      <c r="BG12" s="136"/>
      <c r="BH12" s="130"/>
      <c r="BI12" s="130"/>
      <c r="BJ12" s="130"/>
      <c r="BK12" s="130"/>
      <c r="BL12" s="130"/>
      <c r="BM12" s="136"/>
      <c r="BN12" s="136"/>
      <c r="BO12" s="130"/>
      <c r="BP12" s="130"/>
      <c r="BQ12" s="130"/>
      <c r="BR12" s="130"/>
      <c r="BS12" s="136"/>
      <c r="BT12" s="136"/>
      <c r="BU12" s="136"/>
      <c r="BV12" s="130"/>
      <c r="BW12" s="130"/>
      <c r="BX12" s="130"/>
      <c r="BY12" s="130"/>
      <c r="BZ12" s="136"/>
      <c r="CA12" s="136"/>
      <c r="CB12" s="136"/>
      <c r="CC12" s="130"/>
      <c r="CD12" s="130"/>
      <c r="CE12" s="130"/>
      <c r="CF12" s="130"/>
      <c r="CG12" s="130"/>
      <c r="CH12" s="136"/>
      <c r="CI12" s="136"/>
      <c r="CJ12" s="130"/>
      <c r="CK12" s="130"/>
      <c r="CL12" s="130"/>
      <c r="CM12" s="131"/>
      <c r="CN12" s="130"/>
      <c r="CO12" s="136"/>
      <c r="CP12" s="136"/>
      <c r="CQ12" s="130"/>
      <c r="CR12" s="130"/>
      <c r="CS12" s="130"/>
      <c r="CT12" s="130"/>
      <c r="CU12" s="130"/>
      <c r="CV12" s="136"/>
      <c r="CW12" s="136"/>
      <c r="CX12" s="130"/>
      <c r="CY12" s="130"/>
      <c r="CZ12" s="130"/>
      <c r="DA12" s="130"/>
      <c r="DB12" s="130"/>
      <c r="DC12" s="136"/>
      <c r="DD12" s="145"/>
      <c r="DE12" s="55"/>
    </row>
    <row r="13" spans="2:109">
      <c r="B13" s="188"/>
      <c r="C13" s="8">
        <v>1</v>
      </c>
      <c r="D13" s="104" t="s">
        <v>68</v>
      </c>
      <c r="E13" s="85" t="s">
        <v>69</v>
      </c>
      <c r="F13" s="91" t="s">
        <v>70</v>
      </c>
      <c r="G13" s="91" t="s">
        <v>71</v>
      </c>
      <c r="H13" s="91"/>
      <c r="I13" s="109">
        <f>0/L13</f>
        <v>0</v>
      </c>
      <c r="J13" s="87">
        <v>46344</v>
      </c>
      <c r="K13" s="87">
        <v>46350</v>
      </c>
      <c r="L13" s="115">
        <f>SUM(M13:DD13)</f>
        <v>5</v>
      </c>
      <c r="M13" s="130"/>
      <c r="N13" s="130"/>
      <c r="O13" s="130"/>
      <c r="P13" s="136"/>
      <c r="Q13" s="136"/>
      <c r="R13" s="130"/>
      <c r="S13" s="130"/>
      <c r="T13" s="130"/>
      <c r="U13" s="130"/>
      <c r="V13" s="130"/>
      <c r="W13" s="135"/>
      <c r="X13" s="136"/>
      <c r="Y13" s="130"/>
      <c r="Z13" s="130"/>
      <c r="AA13" s="130"/>
      <c r="AB13" s="130"/>
      <c r="AC13" s="130"/>
      <c r="AD13" s="136"/>
      <c r="AE13" s="136"/>
      <c r="AF13" s="130"/>
      <c r="AG13" s="130"/>
      <c r="AH13" s="150">
        <v>1</v>
      </c>
      <c r="AI13" s="150">
        <v>1</v>
      </c>
      <c r="AJ13" s="150">
        <v>1</v>
      </c>
      <c r="AK13" s="136"/>
      <c r="AL13" s="136"/>
      <c r="AM13" s="150">
        <v>1</v>
      </c>
      <c r="AN13" s="150">
        <v>1</v>
      </c>
      <c r="AO13" s="130"/>
      <c r="AP13" s="130"/>
      <c r="AQ13" s="130"/>
      <c r="AR13" s="136"/>
      <c r="AS13" s="136"/>
      <c r="AT13" s="130"/>
      <c r="AU13" s="130"/>
      <c r="AV13" s="130"/>
      <c r="AW13" s="130"/>
      <c r="AX13" s="130"/>
      <c r="AY13" s="136"/>
      <c r="AZ13" s="136"/>
      <c r="BA13" s="130"/>
      <c r="BB13" s="130"/>
      <c r="BC13" s="130"/>
      <c r="BD13" s="130"/>
      <c r="BE13" s="130"/>
      <c r="BF13" s="136"/>
      <c r="BG13" s="136"/>
      <c r="BH13" s="130"/>
      <c r="BI13" s="130"/>
      <c r="BJ13" s="130"/>
      <c r="BK13" s="130"/>
      <c r="BL13" s="130"/>
      <c r="BM13" s="136"/>
      <c r="BN13" s="136"/>
      <c r="BO13" s="130"/>
      <c r="BP13" s="130"/>
      <c r="BQ13" s="130"/>
      <c r="BR13" s="130"/>
      <c r="BS13" s="136"/>
      <c r="BT13" s="136"/>
      <c r="BU13" s="136"/>
      <c r="BV13" s="130"/>
      <c r="BW13" s="130"/>
      <c r="BX13" s="130"/>
      <c r="BY13" s="130"/>
      <c r="BZ13" s="136"/>
      <c r="CA13" s="136"/>
      <c r="CB13" s="136"/>
      <c r="CC13" s="130"/>
      <c r="CD13" s="130"/>
      <c r="CE13" s="130"/>
      <c r="CF13" s="130"/>
      <c r="CG13" s="130"/>
      <c r="CH13" s="136"/>
      <c r="CI13" s="136"/>
      <c r="CJ13" s="130"/>
      <c r="CK13" s="130"/>
      <c r="CL13" s="130"/>
      <c r="CM13" s="131"/>
      <c r="CN13" s="130"/>
      <c r="CO13" s="136"/>
      <c r="CP13" s="136"/>
      <c r="CQ13" s="130"/>
      <c r="CR13" s="130"/>
      <c r="CS13" s="130"/>
      <c r="CT13" s="130"/>
      <c r="CU13" s="130"/>
      <c r="CV13" s="136"/>
      <c r="CW13" s="136"/>
      <c r="CX13" s="130"/>
      <c r="CY13" s="130"/>
      <c r="CZ13" s="130"/>
      <c r="DA13" s="130"/>
      <c r="DB13" s="130"/>
      <c r="DC13" s="136"/>
      <c r="DD13" s="145"/>
      <c r="DE13" s="55"/>
    </row>
    <row r="14" spans="2:109" ht="14.25" customHeight="1">
      <c r="B14" s="189"/>
      <c r="C14" s="8">
        <v>1</v>
      </c>
      <c r="D14" s="104" t="s">
        <v>72</v>
      </c>
      <c r="E14" s="85" t="s">
        <v>73</v>
      </c>
      <c r="F14" s="91" t="s">
        <v>16</v>
      </c>
      <c r="G14" s="91" t="s">
        <v>74</v>
      </c>
      <c r="H14" s="91"/>
      <c r="I14" s="109">
        <f>0/L14</f>
        <v>0</v>
      </c>
      <c r="J14" s="87">
        <v>46351</v>
      </c>
      <c r="K14" s="87">
        <v>46351</v>
      </c>
      <c r="L14" s="115">
        <f>SUM(M14:DD14)</f>
        <v>1</v>
      </c>
      <c r="M14" s="130"/>
      <c r="N14" s="130"/>
      <c r="O14" s="130"/>
      <c r="P14" s="136"/>
      <c r="Q14" s="136"/>
      <c r="R14" s="130"/>
      <c r="S14" s="130"/>
      <c r="T14" s="130"/>
      <c r="U14" s="130"/>
      <c r="V14" s="130"/>
      <c r="W14" s="136"/>
      <c r="X14" s="135"/>
      <c r="Y14" s="130"/>
      <c r="Z14" s="130"/>
      <c r="AA14" s="130"/>
      <c r="AB14" s="130"/>
      <c r="AC14" s="130"/>
      <c r="AD14" s="136"/>
      <c r="AE14" s="136"/>
      <c r="AF14" s="130"/>
      <c r="AG14" s="130"/>
      <c r="AH14" s="130"/>
      <c r="AI14" s="130"/>
      <c r="AJ14" s="130"/>
      <c r="AK14" s="136"/>
      <c r="AL14" s="136"/>
      <c r="AM14" s="130"/>
      <c r="AN14" s="130"/>
      <c r="AO14" s="150">
        <v>1</v>
      </c>
      <c r="AP14" s="130"/>
      <c r="AQ14" s="130"/>
      <c r="AR14" s="136"/>
      <c r="AS14" s="136"/>
      <c r="AT14" s="130"/>
      <c r="AU14" s="130"/>
      <c r="AV14" s="130"/>
      <c r="AW14" s="130"/>
      <c r="AX14" s="130"/>
      <c r="AY14" s="136"/>
      <c r="AZ14" s="136"/>
      <c r="BA14" s="130"/>
      <c r="BB14" s="130"/>
      <c r="BC14" s="130"/>
      <c r="BD14" s="130"/>
      <c r="BE14" s="130"/>
      <c r="BF14" s="136"/>
      <c r="BG14" s="136"/>
      <c r="BH14" s="130"/>
      <c r="BI14" s="130"/>
      <c r="BJ14" s="130"/>
      <c r="BK14" s="130"/>
      <c r="BL14" s="130"/>
      <c r="BM14" s="136"/>
      <c r="BN14" s="136"/>
      <c r="BO14" s="130"/>
      <c r="BP14" s="130"/>
      <c r="BQ14" s="130"/>
      <c r="BR14" s="130"/>
      <c r="BS14" s="136"/>
      <c r="BT14" s="136"/>
      <c r="BU14" s="136"/>
      <c r="BV14" s="130"/>
      <c r="BW14" s="130"/>
      <c r="BX14" s="130"/>
      <c r="BY14" s="130"/>
      <c r="BZ14" s="136"/>
      <c r="CA14" s="136"/>
      <c r="CB14" s="136"/>
      <c r="CC14" s="130"/>
      <c r="CD14" s="130"/>
      <c r="CE14" s="130"/>
      <c r="CF14" s="130"/>
      <c r="CG14" s="130"/>
      <c r="CH14" s="136"/>
      <c r="CI14" s="136"/>
      <c r="CJ14" s="130"/>
      <c r="CK14" s="130"/>
      <c r="CL14" s="130"/>
      <c r="CM14" s="131"/>
      <c r="CN14" s="130"/>
      <c r="CO14" s="136"/>
      <c r="CP14" s="136"/>
      <c r="CQ14" s="130"/>
      <c r="CR14" s="130"/>
      <c r="CS14" s="130"/>
      <c r="CT14" s="130"/>
      <c r="CU14" s="130"/>
      <c r="CV14" s="136"/>
      <c r="CW14" s="136"/>
      <c r="CX14" s="130"/>
      <c r="CY14" s="130"/>
      <c r="CZ14" s="130"/>
      <c r="DA14" s="130"/>
      <c r="DB14" s="130"/>
      <c r="DC14" s="136"/>
      <c r="DD14" s="145"/>
      <c r="DE14" s="55"/>
    </row>
    <row r="15" spans="2:109">
      <c r="B15" s="187" t="s">
        <v>75</v>
      </c>
      <c r="C15" s="14">
        <v>1</v>
      </c>
      <c r="D15" s="101" t="s">
        <v>76</v>
      </c>
      <c r="E15" s="82" t="s">
        <v>77</v>
      </c>
      <c r="F15" s="83"/>
      <c r="G15" s="83"/>
      <c r="H15" s="83"/>
      <c r="I15" s="108">
        <f>AVERAGE(I16:I18)</f>
        <v>0</v>
      </c>
      <c r="J15" s="84">
        <f>MIN(J16:J18)</f>
        <v>46352</v>
      </c>
      <c r="K15" s="84">
        <f>MAX(K16:K18)</f>
        <v>46367</v>
      </c>
      <c r="L15" s="114">
        <f>SUM(L16:L18)</f>
        <v>12</v>
      </c>
      <c r="M15" s="125"/>
      <c r="N15" s="125"/>
      <c r="O15" s="125"/>
      <c r="P15" s="134"/>
      <c r="Q15" s="134"/>
      <c r="R15" s="125"/>
      <c r="S15" s="125"/>
      <c r="T15" s="125"/>
      <c r="U15" s="125"/>
      <c r="V15" s="125"/>
      <c r="W15" s="134"/>
      <c r="X15" s="134"/>
      <c r="Y15" s="125"/>
      <c r="Z15" s="125"/>
      <c r="AA15" s="125"/>
      <c r="AB15" s="125"/>
      <c r="AC15" s="125"/>
      <c r="AD15" s="134"/>
      <c r="AE15" s="134"/>
      <c r="AF15" s="125"/>
      <c r="AG15" s="125"/>
      <c r="AH15" s="125"/>
      <c r="AI15" s="125"/>
      <c r="AJ15" s="125"/>
      <c r="AK15" s="134"/>
      <c r="AL15" s="134"/>
      <c r="AM15" s="125"/>
      <c r="AN15" s="125"/>
      <c r="AO15" s="125"/>
      <c r="AP15" s="125"/>
      <c r="AQ15" s="125"/>
      <c r="AR15" s="134"/>
      <c r="AS15" s="134"/>
      <c r="AT15" s="125"/>
      <c r="AU15" s="125"/>
      <c r="AV15" s="125"/>
      <c r="AW15" s="125"/>
      <c r="AX15" s="125"/>
      <c r="AY15" s="134"/>
      <c r="AZ15" s="134"/>
      <c r="BA15" s="125"/>
      <c r="BB15" s="125"/>
      <c r="BC15" s="125"/>
      <c r="BD15" s="125"/>
      <c r="BE15" s="125"/>
      <c r="BF15" s="134"/>
      <c r="BG15" s="134"/>
      <c r="BH15" s="125"/>
      <c r="BI15" s="125"/>
      <c r="BJ15" s="125"/>
      <c r="BK15" s="125"/>
      <c r="BL15" s="125"/>
      <c r="BM15" s="134"/>
      <c r="BN15" s="134"/>
      <c r="BO15" s="125"/>
      <c r="BP15" s="125"/>
      <c r="BQ15" s="125"/>
      <c r="BR15" s="125"/>
      <c r="BS15" s="134"/>
      <c r="BT15" s="134"/>
      <c r="BU15" s="134"/>
      <c r="BV15" s="125"/>
      <c r="BW15" s="125"/>
      <c r="BX15" s="125"/>
      <c r="BY15" s="125"/>
      <c r="BZ15" s="134"/>
      <c r="CA15" s="134"/>
      <c r="CB15" s="134"/>
      <c r="CC15" s="125"/>
      <c r="CD15" s="125"/>
      <c r="CE15" s="125"/>
      <c r="CF15" s="125"/>
      <c r="CG15" s="125"/>
      <c r="CH15" s="134"/>
      <c r="CI15" s="134"/>
      <c r="CJ15" s="125"/>
      <c r="CK15" s="125"/>
      <c r="CL15" s="125"/>
      <c r="CM15" s="126"/>
      <c r="CN15" s="125"/>
      <c r="CO15" s="134"/>
      <c r="CP15" s="134"/>
      <c r="CQ15" s="125"/>
      <c r="CR15" s="125"/>
      <c r="CS15" s="125"/>
      <c r="CT15" s="125"/>
      <c r="CU15" s="125"/>
      <c r="CV15" s="134"/>
      <c r="CW15" s="134"/>
      <c r="CX15" s="125"/>
      <c r="CY15" s="125"/>
      <c r="CZ15" s="125"/>
      <c r="DA15" s="125"/>
      <c r="DB15" s="125"/>
      <c r="DC15" s="134"/>
      <c r="DD15" s="142"/>
      <c r="DE15" s="52"/>
    </row>
    <row r="16" spans="2:109" ht="16.5">
      <c r="B16" s="188"/>
      <c r="C16" s="8">
        <v>2</v>
      </c>
      <c r="D16" s="104" t="s">
        <v>78</v>
      </c>
      <c r="E16" s="92" t="s">
        <v>79</v>
      </c>
      <c r="F16" s="93" t="s">
        <v>80</v>
      </c>
      <c r="G16" s="93" t="s">
        <v>81</v>
      </c>
      <c r="H16" s="106"/>
      <c r="I16" s="111">
        <f>0/L16</f>
        <v>0</v>
      </c>
      <c r="J16" s="94">
        <v>46352</v>
      </c>
      <c r="K16" s="94">
        <v>46357</v>
      </c>
      <c r="L16" s="117">
        <f>SUM(M16:DD16)</f>
        <v>4</v>
      </c>
      <c r="M16" s="130"/>
      <c r="N16" s="130"/>
      <c r="O16" s="130"/>
      <c r="P16" s="136"/>
      <c r="Q16" s="136"/>
      <c r="R16" s="130"/>
      <c r="S16" s="130"/>
      <c r="T16" s="130"/>
      <c r="U16" s="130"/>
      <c r="V16" s="130"/>
      <c r="W16" s="136"/>
      <c r="X16" s="136"/>
      <c r="Y16" s="130"/>
      <c r="Z16" s="130"/>
      <c r="AA16" s="130"/>
      <c r="AB16" s="130"/>
      <c r="AC16" s="130"/>
      <c r="AD16" s="136"/>
      <c r="AE16" s="136"/>
      <c r="AF16" s="130"/>
      <c r="AG16" s="130"/>
      <c r="AH16" s="130"/>
      <c r="AI16" s="130"/>
      <c r="AJ16" s="130"/>
      <c r="AK16" s="136"/>
      <c r="AL16" s="136"/>
      <c r="AM16" s="130"/>
      <c r="AN16" s="130"/>
      <c r="AO16" s="130"/>
      <c r="AP16" s="151">
        <v>1</v>
      </c>
      <c r="AQ16" s="151">
        <v>1</v>
      </c>
      <c r="AR16" s="136"/>
      <c r="AS16" s="136"/>
      <c r="AT16" s="151">
        <v>1</v>
      </c>
      <c r="AU16" s="151">
        <v>1</v>
      </c>
      <c r="AV16" s="130"/>
      <c r="AW16" s="130"/>
      <c r="AX16" s="130"/>
      <c r="AY16" s="136"/>
      <c r="AZ16" s="136"/>
      <c r="BA16" s="130"/>
      <c r="BB16" s="130"/>
      <c r="BC16" s="130"/>
      <c r="BD16" s="130"/>
      <c r="BE16" s="130"/>
      <c r="BF16" s="136"/>
      <c r="BG16" s="136"/>
      <c r="BH16" s="130"/>
      <c r="BI16" s="130"/>
      <c r="BJ16" s="130"/>
      <c r="BK16" s="130"/>
      <c r="BL16" s="130"/>
      <c r="BM16" s="136"/>
      <c r="BN16" s="136"/>
      <c r="BO16" s="130"/>
      <c r="BP16" s="130"/>
      <c r="BQ16" s="130"/>
      <c r="BR16" s="130"/>
      <c r="BS16" s="136"/>
      <c r="BT16" s="136"/>
      <c r="BU16" s="136"/>
      <c r="BV16" s="130"/>
      <c r="BW16" s="130"/>
      <c r="BX16" s="130"/>
      <c r="BY16" s="130"/>
      <c r="BZ16" s="136"/>
      <c r="CA16" s="136"/>
      <c r="CB16" s="136"/>
      <c r="CC16" s="130"/>
      <c r="CD16" s="130"/>
      <c r="CE16" s="130"/>
      <c r="CF16" s="130"/>
      <c r="CG16" s="130"/>
      <c r="CH16" s="136"/>
      <c r="CI16" s="136"/>
      <c r="CJ16" s="130"/>
      <c r="CK16" s="130"/>
      <c r="CL16" s="130"/>
      <c r="CM16" s="131"/>
      <c r="CN16" s="130"/>
      <c r="CO16" s="136"/>
      <c r="CP16" s="136"/>
      <c r="CQ16" s="130"/>
      <c r="CR16" s="130"/>
      <c r="CS16" s="130"/>
      <c r="CT16" s="130"/>
      <c r="CU16" s="130"/>
      <c r="CV16" s="136"/>
      <c r="CW16" s="136"/>
      <c r="CX16" s="130"/>
      <c r="CY16" s="130"/>
      <c r="CZ16" s="130"/>
      <c r="DA16" s="130"/>
      <c r="DB16" s="130"/>
      <c r="DC16" s="136"/>
      <c r="DD16" s="145"/>
      <c r="DE16" s="55"/>
    </row>
    <row r="17" spans="2:109" ht="16.5">
      <c r="B17" s="188"/>
      <c r="C17" s="8">
        <v>2</v>
      </c>
      <c r="D17" s="104" t="s">
        <v>82</v>
      </c>
      <c r="E17" s="92" t="s">
        <v>83</v>
      </c>
      <c r="F17" s="93" t="s">
        <v>62</v>
      </c>
      <c r="G17" s="93" t="s">
        <v>84</v>
      </c>
      <c r="H17" s="106"/>
      <c r="I17" s="111">
        <f>0/L17</f>
        <v>0</v>
      </c>
      <c r="J17" s="94">
        <v>46358</v>
      </c>
      <c r="K17" s="94">
        <v>46364</v>
      </c>
      <c r="L17" s="118">
        <f>SUM(M17:DD17)</f>
        <v>5</v>
      </c>
      <c r="M17" s="130"/>
      <c r="N17" s="130"/>
      <c r="O17" s="130"/>
      <c r="P17" s="136"/>
      <c r="Q17" s="136"/>
      <c r="R17" s="130"/>
      <c r="S17" s="130"/>
      <c r="T17" s="130"/>
      <c r="U17" s="130"/>
      <c r="V17" s="130"/>
      <c r="W17" s="136"/>
      <c r="X17" s="136"/>
      <c r="Y17" s="130"/>
      <c r="Z17" s="130"/>
      <c r="AA17" s="130"/>
      <c r="AB17" s="130"/>
      <c r="AC17" s="130"/>
      <c r="AD17" s="136"/>
      <c r="AE17" s="136"/>
      <c r="AF17" s="130"/>
      <c r="AG17" s="130"/>
      <c r="AH17" s="130"/>
      <c r="AI17" s="130"/>
      <c r="AJ17" s="130"/>
      <c r="AK17" s="136"/>
      <c r="AL17" s="136"/>
      <c r="AM17" s="130"/>
      <c r="AN17" s="130"/>
      <c r="AO17" s="130"/>
      <c r="AP17" s="130"/>
      <c r="AQ17" s="130"/>
      <c r="AR17" s="136"/>
      <c r="AS17" s="136"/>
      <c r="AT17" s="130"/>
      <c r="AU17" s="130"/>
      <c r="AV17" s="151">
        <v>1</v>
      </c>
      <c r="AW17" s="151">
        <v>1</v>
      </c>
      <c r="AX17" s="151">
        <v>1</v>
      </c>
      <c r="AY17" s="136"/>
      <c r="AZ17" s="136"/>
      <c r="BA17" s="151">
        <v>1</v>
      </c>
      <c r="BB17" s="151">
        <v>1</v>
      </c>
      <c r="BC17" s="130"/>
      <c r="BD17" s="130"/>
      <c r="BE17" s="130"/>
      <c r="BF17" s="136"/>
      <c r="BG17" s="136"/>
      <c r="BH17" s="130"/>
      <c r="BI17" s="130"/>
      <c r="BJ17" s="130"/>
      <c r="BK17" s="130"/>
      <c r="BL17" s="130"/>
      <c r="BM17" s="136"/>
      <c r="BN17" s="136"/>
      <c r="BO17" s="130"/>
      <c r="BP17" s="130"/>
      <c r="BQ17" s="130"/>
      <c r="BR17" s="130"/>
      <c r="BS17" s="136"/>
      <c r="BT17" s="136"/>
      <c r="BU17" s="136"/>
      <c r="BV17" s="130"/>
      <c r="BW17" s="130"/>
      <c r="BX17" s="130"/>
      <c r="BY17" s="130"/>
      <c r="BZ17" s="136"/>
      <c r="CA17" s="136"/>
      <c r="CB17" s="136"/>
      <c r="CC17" s="130"/>
      <c r="CD17" s="130"/>
      <c r="CE17" s="130"/>
      <c r="CF17" s="130"/>
      <c r="CG17" s="130"/>
      <c r="CH17" s="136"/>
      <c r="CI17" s="136"/>
      <c r="CJ17" s="130"/>
      <c r="CK17" s="130"/>
      <c r="CL17" s="130"/>
      <c r="CM17" s="131"/>
      <c r="CN17" s="130"/>
      <c r="CO17" s="136"/>
      <c r="CP17" s="136"/>
      <c r="CQ17" s="130"/>
      <c r="CR17" s="130"/>
      <c r="CS17" s="130"/>
      <c r="CT17" s="130"/>
      <c r="CU17" s="130"/>
      <c r="CV17" s="136"/>
      <c r="CW17" s="136"/>
      <c r="CX17" s="130"/>
      <c r="CY17" s="130"/>
      <c r="CZ17" s="130"/>
      <c r="DA17" s="130"/>
      <c r="DB17" s="130"/>
      <c r="DC17" s="136"/>
      <c r="DD17" s="145"/>
      <c r="DE17" s="55"/>
    </row>
    <row r="18" spans="2:109">
      <c r="B18" s="188"/>
      <c r="C18" s="9">
        <v>2</v>
      </c>
      <c r="D18" s="102" t="s">
        <v>85</v>
      </c>
      <c r="E18" s="95" t="s">
        <v>86</v>
      </c>
      <c r="F18" s="96" t="s">
        <v>80</v>
      </c>
      <c r="G18" s="96" t="s">
        <v>87</v>
      </c>
      <c r="H18" s="96"/>
      <c r="I18" s="111">
        <f>0/L18</f>
        <v>0</v>
      </c>
      <c r="J18" s="94">
        <v>46365</v>
      </c>
      <c r="K18" s="94">
        <v>46367</v>
      </c>
      <c r="L18" s="119">
        <f>SUM(M18:DD18)</f>
        <v>3</v>
      </c>
      <c r="M18" s="130"/>
      <c r="N18" s="130"/>
      <c r="O18" s="130"/>
      <c r="P18" s="136"/>
      <c r="Q18" s="136"/>
      <c r="R18" s="132"/>
      <c r="S18" s="132"/>
      <c r="T18" s="132"/>
      <c r="U18" s="130"/>
      <c r="V18" s="130"/>
      <c r="W18" s="136"/>
      <c r="X18" s="136"/>
      <c r="Y18" s="132"/>
      <c r="Z18" s="132"/>
      <c r="AA18" s="127"/>
      <c r="AB18" s="127"/>
      <c r="AC18" s="127"/>
      <c r="AD18" s="139"/>
      <c r="AE18" s="139"/>
      <c r="AF18" s="132"/>
      <c r="AG18" s="132"/>
      <c r="AH18" s="127"/>
      <c r="AI18" s="127"/>
      <c r="AJ18" s="127"/>
      <c r="AK18" s="139"/>
      <c r="AL18" s="139"/>
      <c r="AM18" s="132"/>
      <c r="AN18" s="132"/>
      <c r="AO18" s="127"/>
      <c r="AP18" s="127"/>
      <c r="AQ18" s="127"/>
      <c r="AR18" s="139"/>
      <c r="AS18" s="139"/>
      <c r="AT18" s="132"/>
      <c r="AU18" s="132"/>
      <c r="AV18" s="127"/>
      <c r="AW18" s="127"/>
      <c r="AX18" s="127"/>
      <c r="AY18" s="139"/>
      <c r="AZ18" s="139"/>
      <c r="BA18" s="132"/>
      <c r="BB18" s="132"/>
      <c r="BC18" s="152">
        <v>1</v>
      </c>
      <c r="BD18" s="152">
        <v>1</v>
      </c>
      <c r="BE18" s="152">
        <v>1</v>
      </c>
      <c r="BF18" s="139"/>
      <c r="BG18" s="139"/>
      <c r="BH18" s="132"/>
      <c r="BI18" s="132"/>
      <c r="BJ18" s="127"/>
      <c r="BK18" s="127"/>
      <c r="BL18" s="127"/>
      <c r="BM18" s="139"/>
      <c r="BN18" s="139"/>
      <c r="BO18" s="132"/>
      <c r="BP18" s="132"/>
      <c r="BQ18" s="127"/>
      <c r="BR18" s="127"/>
      <c r="BS18" s="141"/>
      <c r="BT18" s="139"/>
      <c r="BU18" s="139"/>
      <c r="BV18" s="132"/>
      <c r="BW18" s="132"/>
      <c r="BX18" s="127"/>
      <c r="BY18" s="127"/>
      <c r="BZ18" s="141"/>
      <c r="CA18" s="139"/>
      <c r="CB18" s="139"/>
      <c r="CC18" s="132"/>
      <c r="CD18" s="132"/>
      <c r="CE18" s="127"/>
      <c r="CF18" s="127"/>
      <c r="CG18" s="127"/>
      <c r="CH18" s="139"/>
      <c r="CI18" s="139"/>
      <c r="CJ18" s="132"/>
      <c r="CK18" s="132"/>
      <c r="CL18" s="127"/>
      <c r="CM18" s="127"/>
      <c r="CN18" s="127"/>
      <c r="CO18" s="139"/>
      <c r="CP18" s="139"/>
      <c r="CQ18" s="132"/>
      <c r="CR18" s="132"/>
      <c r="CS18" s="127"/>
      <c r="CT18" s="127"/>
      <c r="CU18" s="127"/>
      <c r="CV18" s="139"/>
      <c r="CW18" s="139"/>
      <c r="CX18" s="132"/>
      <c r="CY18" s="132"/>
      <c r="CZ18" s="127"/>
      <c r="DA18" s="132"/>
      <c r="DB18" s="132"/>
      <c r="DC18" s="141"/>
      <c r="DD18" s="146"/>
      <c r="DE18" s="57"/>
    </row>
    <row r="19" spans="2:109">
      <c r="B19" s="188"/>
      <c r="C19" s="9">
        <v>1</v>
      </c>
      <c r="D19" s="105" t="s">
        <v>88</v>
      </c>
      <c r="E19" s="97" t="s">
        <v>89</v>
      </c>
      <c r="F19" s="86"/>
      <c r="G19" s="86"/>
      <c r="H19" s="86"/>
      <c r="I19" s="112">
        <f>AVERAGE(I20:I22)</f>
        <v>0</v>
      </c>
      <c r="J19" s="98">
        <f>MIN(J20:J22)</f>
        <v>46352</v>
      </c>
      <c r="K19" s="98">
        <f>MAX(K20:K22)</f>
        <v>46374</v>
      </c>
      <c r="L19" s="120">
        <f>SUM(L20:L22)</f>
        <v>17</v>
      </c>
      <c r="M19" s="130"/>
      <c r="N19" s="130"/>
      <c r="O19" s="130"/>
      <c r="P19" s="136"/>
      <c r="Q19" s="136"/>
      <c r="R19" s="132"/>
      <c r="S19" s="132"/>
      <c r="T19" s="132"/>
      <c r="U19" s="130"/>
      <c r="V19" s="130"/>
      <c r="W19" s="136"/>
      <c r="X19" s="136"/>
      <c r="Y19" s="132"/>
      <c r="Z19" s="132"/>
      <c r="AA19" s="124"/>
      <c r="AB19" s="124"/>
      <c r="AC19" s="124"/>
      <c r="AD19" s="135"/>
      <c r="AE19" s="135"/>
      <c r="AF19" s="132"/>
      <c r="AG19" s="132"/>
      <c r="AH19" s="132"/>
      <c r="AI19" s="132"/>
      <c r="AJ19" s="132"/>
      <c r="AK19" s="141"/>
      <c r="AL19" s="141"/>
      <c r="AM19" s="132"/>
      <c r="AN19" s="132"/>
      <c r="AO19" s="132"/>
      <c r="AP19" s="132"/>
      <c r="AQ19" s="132"/>
      <c r="AR19" s="141"/>
      <c r="AS19" s="141"/>
      <c r="AT19" s="132"/>
      <c r="AU19" s="132"/>
      <c r="AV19" s="132"/>
      <c r="AW19" s="132"/>
      <c r="AX19" s="132"/>
      <c r="AY19" s="141"/>
      <c r="AZ19" s="141"/>
      <c r="BA19" s="130"/>
      <c r="BB19" s="130"/>
      <c r="BC19" s="132"/>
      <c r="BD19" s="132"/>
      <c r="BE19" s="132"/>
      <c r="BF19" s="141"/>
      <c r="BG19" s="141"/>
      <c r="BH19" s="130"/>
      <c r="BI19" s="130"/>
      <c r="BJ19" s="132"/>
      <c r="BK19" s="132"/>
      <c r="BL19" s="132"/>
      <c r="BM19" s="141"/>
      <c r="BN19" s="141"/>
      <c r="BO19" s="132"/>
      <c r="BP19" s="132"/>
      <c r="BQ19" s="132"/>
      <c r="BR19" s="132"/>
      <c r="BS19" s="141"/>
      <c r="BT19" s="141"/>
      <c r="BU19" s="141"/>
      <c r="BV19" s="132"/>
      <c r="BW19" s="132"/>
      <c r="BX19" s="132"/>
      <c r="BY19" s="132"/>
      <c r="BZ19" s="141"/>
      <c r="CA19" s="141"/>
      <c r="CB19" s="141"/>
      <c r="CC19" s="132"/>
      <c r="CD19" s="132"/>
      <c r="CE19" s="132"/>
      <c r="CF19" s="132"/>
      <c r="CG19" s="132"/>
      <c r="CH19" s="141"/>
      <c r="CI19" s="141"/>
      <c r="CJ19" s="132"/>
      <c r="CK19" s="132"/>
      <c r="CL19" s="132"/>
      <c r="CM19" s="133"/>
      <c r="CN19" s="132"/>
      <c r="CO19" s="141"/>
      <c r="CP19" s="141"/>
      <c r="CQ19" s="132"/>
      <c r="CR19" s="132"/>
      <c r="CS19" s="132"/>
      <c r="CT19" s="132"/>
      <c r="CU19" s="132"/>
      <c r="CV19" s="141"/>
      <c r="CW19" s="141"/>
      <c r="CX19" s="132"/>
      <c r="CY19" s="132"/>
      <c r="CZ19" s="132"/>
      <c r="DA19" s="132"/>
      <c r="DB19" s="132"/>
      <c r="DC19" s="141"/>
      <c r="DD19" s="146"/>
      <c r="DE19" s="57"/>
    </row>
    <row r="20" spans="2:109">
      <c r="B20" s="188"/>
      <c r="C20" s="9">
        <v>2</v>
      </c>
      <c r="D20" s="105" t="s">
        <v>90</v>
      </c>
      <c r="E20" s="92" t="s">
        <v>91</v>
      </c>
      <c r="F20" s="96" t="s">
        <v>92</v>
      </c>
      <c r="G20" s="96" t="s">
        <v>81</v>
      </c>
      <c r="H20" s="96"/>
      <c r="I20" s="111">
        <f>0/L20</f>
        <v>0</v>
      </c>
      <c r="J20" s="94">
        <v>46352</v>
      </c>
      <c r="K20" s="94">
        <v>46357</v>
      </c>
      <c r="L20" s="117">
        <f>SUM(M20:DD20)</f>
        <v>4</v>
      </c>
      <c r="M20" s="130"/>
      <c r="N20" s="130"/>
      <c r="O20" s="130"/>
      <c r="P20" s="136"/>
      <c r="Q20" s="136"/>
      <c r="R20" s="132"/>
      <c r="S20" s="132"/>
      <c r="T20" s="132"/>
      <c r="U20" s="130"/>
      <c r="V20" s="130"/>
      <c r="W20" s="136"/>
      <c r="X20" s="136"/>
      <c r="Y20" s="132"/>
      <c r="Z20" s="132"/>
      <c r="AA20" s="132"/>
      <c r="AB20" s="132"/>
      <c r="AC20" s="132"/>
      <c r="AD20" s="141"/>
      <c r="AE20" s="141"/>
      <c r="AF20" s="132"/>
      <c r="AG20" s="132"/>
      <c r="AH20" s="124"/>
      <c r="AI20" s="124"/>
      <c r="AJ20" s="124"/>
      <c r="AK20" s="135"/>
      <c r="AL20" s="135"/>
      <c r="AM20" s="132"/>
      <c r="AN20" s="132"/>
      <c r="AO20" s="132"/>
      <c r="AP20" s="153">
        <v>1</v>
      </c>
      <c r="AQ20" s="153">
        <v>1</v>
      </c>
      <c r="AR20" s="141"/>
      <c r="AS20" s="141"/>
      <c r="AT20" s="153">
        <v>1</v>
      </c>
      <c r="AU20" s="153">
        <v>1</v>
      </c>
      <c r="AV20" s="132"/>
      <c r="AW20" s="132"/>
      <c r="AX20" s="132"/>
      <c r="AY20" s="141"/>
      <c r="AZ20" s="141"/>
      <c r="BA20" s="132"/>
      <c r="BB20" s="132"/>
      <c r="BC20" s="132"/>
      <c r="BD20" s="132"/>
      <c r="BE20" s="132"/>
      <c r="BF20" s="141"/>
      <c r="BG20" s="141"/>
      <c r="BH20" s="132"/>
      <c r="BI20" s="132"/>
      <c r="BJ20" s="132"/>
      <c r="BK20" s="132"/>
      <c r="BL20" s="132"/>
      <c r="BM20" s="141"/>
      <c r="BN20" s="141"/>
      <c r="BO20" s="132"/>
      <c r="BP20" s="132"/>
      <c r="BQ20" s="132"/>
      <c r="BR20" s="132"/>
      <c r="BS20" s="141"/>
      <c r="BT20" s="141"/>
      <c r="BU20" s="141"/>
      <c r="BV20" s="132"/>
      <c r="BW20" s="132"/>
      <c r="BX20" s="132"/>
      <c r="BY20" s="132"/>
      <c r="BZ20" s="141"/>
      <c r="CA20" s="141"/>
      <c r="CB20" s="141"/>
      <c r="CC20" s="132"/>
      <c r="CD20" s="132"/>
      <c r="CE20" s="132"/>
      <c r="CF20" s="132"/>
      <c r="CG20" s="132"/>
      <c r="CH20" s="141"/>
      <c r="CI20" s="141"/>
      <c r="CJ20" s="132"/>
      <c r="CK20" s="132"/>
      <c r="CL20" s="132"/>
      <c r="CM20" s="132"/>
      <c r="CN20" s="132"/>
      <c r="CO20" s="141"/>
      <c r="CP20" s="141"/>
      <c r="CQ20" s="132"/>
      <c r="CR20" s="132"/>
      <c r="CS20" s="132"/>
      <c r="CT20" s="132"/>
      <c r="CU20" s="132"/>
      <c r="CV20" s="141"/>
      <c r="CW20" s="141"/>
      <c r="CX20" s="132"/>
      <c r="CY20" s="132"/>
      <c r="CZ20" s="132"/>
      <c r="DA20" s="132"/>
      <c r="DB20" s="132"/>
      <c r="DC20" s="141"/>
      <c r="DD20" s="146"/>
      <c r="DE20" s="57"/>
    </row>
    <row r="21" spans="2:109">
      <c r="B21" s="188"/>
      <c r="C21" s="9">
        <v>2</v>
      </c>
      <c r="D21" s="105" t="s">
        <v>93</v>
      </c>
      <c r="E21" s="92" t="s">
        <v>94</v>
      </c>
      <c r="F21" s="96" t="s">
        <v>92</v>
      </c>
      <c r="G21" s="96" t="s">
        <v>95</v>
      </c>
      <c r="H21" s="96"/>
      <c r="I21" s="111">
        <f>0/L21</f>
        <v>0</v>
      </c>
      <c r="J21" s="94">
        <v>46358</v>
      </c>
      <c r="K21" s="94">
        <v>46371</v>
      </c>
      <c r="L21" s="117">
        <f>SUM(M21:DD21)</f>
        <v>10</v>
      </c>
      <c r="M21" s="130"/>
      <c r="N21" s="130"/>
      <c r="O21" s="130"/>
      <c r="P21" s="136"/>
      <c r="Q21" s="136"/>
      <c r="R21" s="132"/>
      <c r="S21" s="132"/>
      <c r="T21" s="132"/>
      <c r="U21" s="130"/>
      <c r="V21" s="130"/>
      <c r="W21" s="136"/>
      <c r="X21" s="136"/>
      <c r="Y21" s="132"/>
      <c r="Z21" s="132"/>
      <c r="AA21" s="132"/>
      <c r="AB21" s="132"/>
      <c r="AC21" s="132"/>
      <c r="AD21" s="141"/>
      <c r="AE21" s="141"/>
      <c r="AF21" s="132"/>
      <c r="AG21" s="132"/>
      <c r="AH21" s="132"/>
      <c r="AI21" s="132"/>
      <c r="AJ21" s="132"/>
      <c r="AK21" s="141"/>
      <c r="AL21" s="141"/>
      <c r="AM21" s="132"/>
      <c r="AN21" s="132"/>
      <c r="AO21" s="124"/>
      <c r="AP21" s="124"/>
      <c r="AQ21" s="124"/>
      <c r="AR21" s="135"/>
      <c r="AS21" s="135"/>
      <c r="AT21" s="132"/>
      <c r="AU21" s="132"/>
      <c r="AV21" s="153">
        <v>1</v>
      </c>
      <c r="AW21" s="153">
        <v>1</v>
      </c>
      <c r="AX21" s="153">
        <v>1</v>
      </c>
      <c r="AY21" s="141"/>
      <c r="AZ21" s="141"/>
      <c r="BA21" s="153">
        <v>1</v>
      </c>
      <c r="BB21" s="153">
        <v>1</v>
      </c>
      <c r="BC21" s="153">
        <v>1</v>
      </c>
      <c r="BD21" s="153">
        <v>1</v>
      </c>
      <c r="BE21" s="153">
        <v>1</v>
      </c>
      <c r="BF21" s="141"/>
      <c r="BG21" s="141"/>
      <c r="BH21" s="153">
        <v>1</v>
      </c>
      <c r="BI21" s="153">
        <v>1</v>
      </c>
      <c r="BJ21" s="132"/>
      <c r="BK21" s="132"/>
      <c r="BL21" s="132"/>
      <c r="BM21" s="141"/>
      <c r="BN21" s="141"/>
      <c r="BO21" s="132"/>
      <c r="BP21" s="132"/>
      <c r="BQ21" s="132"/>
      <c r="BR21" s="132"/>
      <c r="BS21" s="141"/>
      <c r="BT21" s="141"/>
      <c r="BU21" s="141"/>
      <c r="BV21" s="132"/>
      <c r="BW21" s="132"/>
      <c r="BX21" s="132"/>
      <c r="BY21" s="132"/>
      <c r="BZ21" s="141"/>
      <c r="CA21" s="141"/>
      <c r="CB21" s="141"/>
      <c r="CC21" s="132"/>
      <c r="CD21" s="132"/>
      <c r="CE21" s="132"/>
      <c r="CF21" s="132"/>
      <c r="CG21" s="132"/>
      <c r="CH21" s="141"/>
      <c r="CI21" s="141"/>
      <c r="CJ21" s="132"/>
      <c r="CK21" s="132"/>
      <c r="CL21" s="132"/>
      <c r="CM21" s="133"/>
      <c r="CN21" s="132"/>
      <c r="CO21" s="141"/>
      <c r="CP21" s="141"/>
      <c r="CQ21" s="132"/>
      <c r="CR21" s="132"/>
      <c r="CS21" s="132"/>
      <c r="CT21" s="132"/>
      <c r="CU21" s="132"/>
      <c r="CV21" s="141"/>
      <c r="CW21" s="141"/>
      <c r="CX21" s="132"/>
      <c r="CY21" s="132"/>
      <c r="CZ21" s="132"/>
      <c r="DA21" s="132"/>
      <c r="DB21" s="132"/>
      <c r="DC21" s="141"/>
      <c r="DD21" s="146"/>
      <c r="DE21" s="57"/>
    </row>
    <row r="22" spans="2:109">
      <c r="B22" s="188"/>
      <c r="C22" s="9">
        <v>2</v>
      </c>
      <c r="D22" s="105" t="s">
        <v>96</v>
      </c>
      <c r="E22" s="92" t="s">
        <v>97</v>
      </c>
      <c r="F22" s="96" t="s">
        <v>92</v>
      </c>
      <c r="G22" s="96" t="s">
        <v>98</v>
      </c>
      <c r="H22" s="96"/>
      <c r="I22" s="111">
        <f>0/L22</f>
        <v>0</v>
      </c>
      <c r="J22" s="94">
        <v>46372</v>
      </c>
      <c r="K22" s="94">
        <v>46374</v>
      </c>
      <c r="L22" s="117">
        <f>SUM(M22:DD22)</f>
        <v>3</v>
      </c>
      <c r="M22" s="130"/>
      <c r="N22" s="130"/>
      <c r="O22" s="130"/>
      <c r="P22" s="136"/>
      <c r="Q22" s="136"/>
      <c r="R22" s="132"/>
      <c r="S22" s="132"/>
      <c r="T22" s="132"/>
      <c r="U22" s="130"/>
      <c r="V22" s="130"/>
      <c r="W22" s="136"/>
      <c r="X22" s="136"/>
      <c r="Y22" s="132"/>
      <c r="Z22" s="132"/>
      <c r="AA22" s="132"/>
      <c r="AB22" s="132"/>
      <c r="AC22" s="132"/>
      <c r="AD22" s="141"/>
      <c r="AE22" s="141"/>
      <c r="AF22" s="132"/>
      <c r="AG22" s="132"/>
      <c r="AH22" s="132"/>
      <c r="AI22" s="132"/>
      <c r="AJ22" s="132"/>
      <c r="AK22" s="141"/>
      <c r="AL22" s="141"/>
      <c r="AM22" s="132"/>
      <c r="AN22" s="132"/>
      <c r="AO22" s="132"/>
      <c r="AP22" s="132"/>
      <c r="AQ22" s="132"/>
      <c r="AR22" s="141"/>
      <c r="AS22" s="141"/>
      <c r="AT22" s="132"/>
      <c r="AU22" s="132"/>
      <c r="AV22" s="124"/>
      <c r="AW22" s="124"/>
      <c r="AX22" s="124"/>
      <c r="AY22" s="135"/>
      <c r="AZ22" s="135"/>
      <c r="BA22" s="132"/>
      <c r="BB22" s="132"/>
      <c r="BC22" s="132"/>
      <c r="BD22" s="132"/>
      <c r="BE22" s="132"/>
      <c r="BF22" s="141"/>
      <c r="BG22" s="141"/>
      <c r="BH22" s="132"/>
      <c r="BI22" s="132"/>
      <c r="BJ22" s="153">
        <v>1</v>
      </c>
      <c r="BK22" s="153">
        <v>1</v>
      </c>
      <c r="BL22" s="153">
        <v>1</v>
      </c>
      <c r="BM22" s="141"/>
      <c r="BN22" s="141"/>
      <c r="BO22" s="132"/>
      <c r="BP22" s="132"/>
      <c r="BQ22" s="132"/>
      <c r="BR22" s="132"/>
      <c r="BS22" s="141"/>
      <c r="BT22" s="141"/>
      <c r="BU22" s="141"/>
      <c r="BV22" s="132"/>
      <c r="BW22" s="132"/>
      <c r="BX22" s="132"/>
      <c r="BY22" s="132"/>
      <c r="BZ22" s="141"/>
      <c r="CA22" s="141"/>
      <c r="CB22" s="141"/>
      <c r="CC22" s="132"/>
      <c r="CD22" s="132"/>
      <c r="CE22" s="132"/>
      <c r="CF22" s="132"/>
      <c r="CG22" s="132"/>
      <c r="CH22" s="141"/>
      <c r="CI22" s="141"/>
      <c r="CJ22" s="132"/>
      <c r="CK22" s="132"/>
      <c r="CL22" s="132"/>
      <c r="CM22" s="133"/>
      <c r="CN22" s="132"/>
      <c r="CO22" s="141"/>
      <c r="CP22" s="141"/>
      <c r="CQ22" s="132"/>
      <c r="CR22" s="132"/>
      <c r="CS22" s="132"/>
      <c r="CT22" s="132"/>
      <c r="CU22" s="132"/>
      <c r="CV22" s="141"/>
      <c r="CW22" s="141"/>
      <c r="CX22" s="132"/>
      <c r="CY22" s="132"/>
      <c r="CZ22" s="132"/>
      <c r="DA22" s="132"/>
      <c r="DB22" s="132"/>
      <c r="DC22" s="141"/>
      <c r="DD22" s="146"/>
      <c r="DE22" s="57"/>
    </row>
    <row r="23" spans="2:109">
      <c r="B23" s="188"/>
      <c r="C23" s="9">
        <v>1</v>
      </c>
      <c r="D23" s="105" t="s">
        <v>99</v>
      </c>
      <c r="E23" s="97" t="s">
        <v>100</v>
      </c>
      <c r="F23" s="86"/>
      <c r="G23" s="86"/>
      <c r="H23" s="86"/>
      <c r="I23" s="112">
        <f>AVERAGE(I24:I27)</f>
        <v>0</v>
      </c>
      <c r="J23" s="98">
        <f>MIN(J24:J27)</f>
        <v>46352</v>
      </c>
      <c r="K23" s="98">
        <f>MAX(K24:K27)</f>
        <v>46387</v>
      </c>
      <c r="L23" s="120">
        <f>SUM(L24:L27)</f>
        <v>24</v>
      </c>
      <c r="M23" s="130"/>
      <c r="N23" s="130"/>
      <c r="O23" s="130"/>
      <c r="P23" s="136"/>
      <c r="Q23" s="136"/>
      <c r="R23" s="132"/>
      <c r="S23" s="132"/>
      <c r="T23" s="132"/>
      <c r="U23" s="130"/>
      <c r="V23" s="130"/>
      <c r="W23" s="136"/>
      <c r="X23" s="136"/>
      <c r="Y23" s="132"/>
      <c r="Z23" s="132"/>
      <c r="AA23" s="132"/>
      <c r="AB23" s="132"/>
      <c r="AC23" s="132"/>
      <c r="AD23" s="141"/>
      <c r="AE23" s="141"/>
      <c r="AF23" s="132"/>
      <c r="AG23" s="132"/>
      <c r="AH23" s="132"/>
      <c r="AI23" s="132"/>
      <c r="AJ23" s="132"/>
      <c r="AK23" s="141"/>
      <c r="AL23" s="141"/>
      <c r="AM23" s="132"/>
      <c r="AN23" s="132"/>
      <c r="AO23" s="132"/>
      <c r="AP23" s="132"/>
      <c r="AQ23" s="132"/>
      <c r="AR23" s="141"/>
      <c r="AS23" s="141"/>
      <c r="AT23" s="132"/>
      <c r="AU23" s="132"/>
      <c r="AV23" s="132"/>
      <c r="AW23" s="132"/>
      <c r="AX23" s="132"/>
      <c r="AY23" s="141"/>
      <c r="AZ23" s="141"/>
      <c r="BA23" s="132"/>
      <c r="BB23" s="132"/>
      <c r="BC23" s="124"/>
      <c r="BD23" s="124"/>
      <c r="BE23" s="124"/>
      <c r="BF23" s="135"/>
      <c r="BG23" s="135"/>
      <c r="BH23" s="132"/>
      <c r="BI23" s="132"/>
      <c r="BJ23" s="132"/>
      <c r="BK23" s="132"/>
      <c r="BL23" s="132"/>
      <c r="BM23" s="141"/>
      <c r="BN23" s="141"/>
      <c r="BO23" s="132"/>
      <c r="BP23" s="132"/>
      <c r="BQ23" s="132"/>
      <c r="BR23" s="132"/>
      <c r="BS23" s="141"/>
      <c r="BT23" s="141"/>
      <c r="BU23" s="141"/>
      <c r="BV23" s="132"/>
      <c r="BW23" s="132"/>
      <c r="BX23" s="132"/>
      <c r="BY23" s="132"/>
      <c r="BZ23" s="141"/>
      <c r="CA23" s="141"/>
      <c r="CB23" s="141"/>
      <c r="CC23" s="132"/>
      <c r="CD23" s="132"/>
      <c r="CE23" s="132"/>
      <c r="CF23" s="132"/>
      <c r="CG23" s="132"/>
      <c r="CH23" s="141"/>
      <c r="CI23" s="141"/>
      <c r="CJ23" s="132"/>
      <c r="CK23" s="132"/>
      <c r="CL23" s="132"/>
      <c r="CM23" s="133"/>
      <c r="CN23" s="132"/>
      <c r="CO23" s="141"/>
      <c r="CP23" s="141"/>
      <c r="CQ23" s="132"/>
      <c r="CR23" s="132"/>
      <c r="CS23" s="132"/>
      <c r="CT23" s="132"/>
      <c r="CU23" s="132"/>
      <c r="CV23" s="141"/>
      <c r="CW23" s="141"/>
      <c r="CX23" s="132"/>
      <c r="CY23" s="132"/>
      <c r="CZ23" s="132"/>
      <c r="DA23" s="132"/>
      <c r="DB23" s="132"/>
      <c r="DC23" s="141"/>
      <c r="DD23" s="146"/>
      <c r="DE23" s="57"/>
    </row>
    <row r="24" spans="2:109">
      <c r="B24" s="188"/>
      <c r="C24" s="3">
        <v>2</v>
      </c>
      <c r="D24" s="102" t="s">
        <v>101</v>
      </c>
      <c r="E24" s="99" t="s">
        <v>102</v>
      </c>
      <c r="F24" s="96" t="s">
        <v>103</v>
      </c>
      <c r="G24" s="96" t="s">
        <v>104</v>
      </c>
      <c r="H24" s="96"/>
      <c r="I24" s="113">
        <f>0/L24</f>
        <v>0</v>
      </c>
      <c r="J24" s="94">
        <v>46352</v>
      </c>
      <c r="K24" s="94">
        <v>46359</v>
      </c>
      <c r="L24" s="121">
        <f>SUM(M24:DD24)</f>
        <v>6</v>
      </c>
      <c r="M24" s="130"/>
      <c r="N24" s="130"/>
      <c r="O24" s="130"/>
      <c r="P24" s="136"/>
      <c r="Q24" s="136"/>
      <c r="R24" s="127"/>
      <c r="S24" s="127"/>
      <c r="T24" s="127"/>
      <c r="U24" s="130"/>
      <c r="V24" s="130"/>
      <c r="W24" s="136"/>
      <c r="X24" s="136"/>
      <c r="Y24" s="127"/>
      <c r="Z24" s="127"/>
      <c r="AA24" s="127"/>
      <c r="AB24" s="127"/>
      <c r="AC24" s="127"/>
      <c r="AD24" s="139"/>
      <c r="AE24" s="139"/>
      <c r="AF24" s="127"/>
      <c r="AG24" s="127"/>
      <c r="AH24" s="127"/>
      <c r="AI24" s="127"/>
      <c r="AJ24" s="127"/>
      <c r="AK24" s="139"/>
      <c r="AL24" s="139"/>
      <c r="AM24" s="127"/>
      <c r="AN24" s="127"/>
      <c r="AO24" s="127"/>
      <c r="AP24" s="152">
        <v>1</v>
      </c>
      <c r="AQ24" s="152">
        <v>1</v>
      </c>
      <c r="AR24" s="139"/>
      <c r="AS24" s="139"/>
      <c r="AT24" s="152">
        <v>1</v>
      </c>
      <c r="AU24" s="152">
        <v>1</v>
      </c>
      <c r="AV24" s="152">
        <v>1</v>
      </c>
      <c r="AW24" s="152">
        <v>1</v>
      </c>
      <c r="AX24" s="127"/>
      <c r="AY24" s="139"/>
      <c r="AZ24" s="139"/>
      <c r="BA24" s="127"/>
      <c r="BB24" s="127"/>
      <c r="BC24" s="127"/>
      <c r="BD24" s="127"/>
      <c r="BE24" s="127"/>
      <c r="BF24" s="139"/>
      <c r="BG24" s="139"/>
      <c r="BH24" s="127"/>
      <c r="BI24" s="127"/>
      <c r="BJ24" s="127"/>
      <c r="BK24" s="127"/>
      <c r="BL24" s="127"/>
      <c r="BM24" s="139"/>
      <c r="BN24" s="139"/>
      <c r="BO24" s="127"/>
      <c r="BP24" s="127"/>
      <c r="BQ24" s="127"/>
      <c r="BR24" s="127"/>
      <c r="BS24" s="141"/>
      <c r="BT24" s="139"/>
      <c r="BU24" s="139"/>
      <c r="BV24" s="132"/>
      <c r="BW24" s="132"/>
      <c r="BX24" s="127"/>
      <c r="BY24" s="127"/>
      <c r="BZ24" s="141"/>
      <c r="CA24" s="139"/>
      <c r="CB24" s="139"/>
      <c r="CC24" s="132"/>
      <c r="CD24" s="132"/>
      <c r="CE24" s="127"/>
      <c r="CF24" s="127"/>
      <c r="CG24" s="127"/>
      <c r="CH24" s="139"/>
      <c r="CI24" s="139"/>
      <c r="CJ24" s="132"/>
      <c r="CK24" s="132"/>
      <c r="CL24" s="127"/>
      <c r="CM24" s="127"/>
      <c r="CN24" s="127"/>
      <c r="CO24" s="139"/>
      <c r="CP24" s="139"/>
      <c r="CQ24" s="132"/>
      <c r="CR24" s="132"/>
      <c r="CS24" s="127"/>
      <c r="CT24" s="127"/>
      <c r="CU24" s="127"/>
      <c r="CV24" s="139"/>
      <c r="CW24" s="139"/>
      <c r="CX24" s="127"/>
      <c r="CY24" s="127"/>
      <c r="CZ24" s="127"/>
      <c r="DA24" s="132"/>
      <c r="DB24" s="132"/>
      <c r="DC24" s="141"/>
      <c r="DD24" s="143"/>
      <c r="DE24" s="56"/>
    </row>
    <row r="25" spans="2:109">
      <c r="B25" s="188"/>
      <c r="C25" s="9">
        <v>2</v>
      </c>
      <c r="D25" s="102" t="s">
        <v>105</v>
      </c>
      <c r="E25" s="92" t="s">
        <v>106</v>
      </c>
      <c r="F25" s="96" t="s">
        <v>55</v>
      </c>
      <c r="G25" s="96" t="s">
        <v>107</v>
      </c>
      <c r="H25" s="96"/>
      <c r="I25" s="111">
        <f>0/L25</f>
        <v>0</v>
      </c>
      <c r="J25" s="94">
        <v>46360</v>
      </c>
      <c r="K25" s="94">
        <v>46365</v>
      </c>
      <c r="L25" s="117">
        <f>SUM(M25:DD25)</f>
        <v>4</v>
      </c>
      <c r="M25" s="130"/>
      <c r="N25" s="130"/>
      <c r="O25" s="130"/>
      <c r="P25" s="136"/>
      <c r="Q25" s="136"/>
      <c r="R25" s="132"/>
      <c r="S25" s="132"/>
      <c r="T25" s="132"/>
      <c r="U25" s="130"/>
      <c r="V25" s="130"/>
      <c r="W25" s="136"/>
      <c r="X25" s="136"/>
      <c r="Y25" s="132"/>
      <c r="Z25" s="132"/>
      <c r="AA25" s="124"/>
      <c r="AB25" s="124"/>
      <c r="AC25" s="124"/>
      <c r="AD25" s="135"/>
      <c r="AE25" s="135"/>
      <c r="AF25" s="132"/>
      <c r="AG25" s="132"/>
      <c r="AH25" s="124"/>
      <c r="AI25" s="132"/>
      <c r="AJ25" s="132"/>
      <c r="AK25" s="141"/>
      <c r="AL25" s="141"/>
      <c r="AM25" s="132"/>
      <c r="AN25" s="132"/>
      <c r="AO25" s="132"/>
      <c r="AP25" s="132"/>
      <c r="AQ25" s="132"/>
      <c r="AR25" s="141"/>
      <c r="AS25" s="141"/>
      <c r="AT25" s="132"/>
      <c r="AU25" s="132"/>
      <c r="AV25" s="132"/>
      <c r="AW25" s="132"/>
      <c r="AX25" s="153">
        <v>1</v>
      </c>
      <c r="AY25" s="141"/>
      <c r="AZ25" s="141"/>
      <c r="BA25" s="151">
        <v>1</v>
      </c>
      <c r="BB25" s="151">
        <v>1</v>
      </c>
      <c r="BC25" s="153">
        <v>1</v>
      </c>
      <c r="BD25" s="132"/>
      <c r="BE25" s="132"/>
      <c r="BF25" s="141"/>
      <c r="BG25" s="141"/>
      <c r="BH25" s="132"/>
      <c r="BI25" s="132"/>
      <c r="BJ25" s="132"/>
      <c r="BK25" s="132"/>
      <c r="BL25" s="132"/>
      <c r="BM25" s="141"/>
      <c r="BN25" s="141"/>
      <c r="BO25" s="132"/>
      <c r="BP25" s="132"/>
      <c r="BQ25" s="132"/>
      <c r="BR25" s="132"/>
      <c r="BS25" s="141"/>
      <c r="BT25" s="141"/>
      <c r="BU25" s="141"/>
      <c r="BV25" s="132"/>
      <c r="BW25" s="132"/>
      <c r="BX25" s="132"/>
      <c r="BY25" s="132"/>
      <c r="BZ25" s="141"/>
      <c r="CA25" s="141"/>
      <c r="CB25" s="141"/>
      <c r="CC25" s="132"/>
      <c r="CD25" s="132"/>
      <c r="CE25" s="132"/>
      <c r="CF25" s="132"/>
      <c r="CG25" s="132"/>
      <c r="CH25" s="141"/>
      <c r="CI25" s="141"/>
      <c r="CJ25" s="132"/>
      <c r="CK25" s="132"/>
      <c r="CL25" s="132"/>
      <c r="CM25" s="133"/>
      <c r="CN25" s="132"/>
      <c r="CO25" s="141"/>
      <c r="CP25" s="141"/>
      <c r="CQ25" s="132"/>
      <c r="CR25" s="132"/>
      <c r="CS25" s="132"/>
      <c r="CT25" s="132"/>
      <c r="CU25" s="132"/>
      <c r="CV25" s="141"/>
      <c r="CW25" s="141"/>
      <c r="CX25" s="132"/>
      <c r="CY25" s="132"/>
      <c r="CZ25" s="132"/>
      <c r="DA25" s="132"/>
      <c r="DB25" s="132"/>
      <c r="DC25" s="141"/>
      <c r="DD25" s="146"/>
      <c r="DE25" s="57"/>
    </row>
    <row r="26" spans="2:109">
      <c r="B26" s="188"/>
      <c r="C26" s="9">
        <v>2</v>
      </c>
      <c r="D26" s="102" t="s">
        <v>108</v>
      </c>
      <c r="E26" s="92" t="s">
        <v>109</v>
      </c>
      <c r="F26" s="96" t="s">
        <v>66</v>
      </c>
      <c r="G26" s="96" t="s">
        <v>95</v>
      </c>
      <c r="H26" s="96"/>
      <c r="I26" s="111">
        <f>0/L26</f>
        <v>0</v>
      </c>
      <c r="J26" s="94">
        <v>46366</v>
      </c>
      <c r="K26" s="94">
        <v>46379</v>
      </c>
      <c r="L26" s="117">
        <f>SUM(M26:DD26)</f>
        <v>10</v>
      </c>
      <c r="M26" s="130"/>
      <c r="N26" s="130"/>
      <c r="O26" s="130"/>
      <c r="P26" s="136"/>
      <c r="Q26" s="136"/>
      <c r="R26" s="132"/>
      <c r="S26" s="132"/>
      <c r="T26" s="132"/>
      <c r="U26" s="130"/>
      <c r="V26" s="130"/>
      <c r="W26" s="136"/>
      <c r="X26" s="136"/>
      <c r="Y26" s="132"/>
      <c r="Z26" s="132"/>
      <c r="AA26" s="132"/>
      <c r="AB26" s="132"/>
      <c r="AC26" s="132"/>
      <c r="AD26" s="141"/>
      <c r="AE26" s="141"/>
      <c r="AF26" s="132"/>
      <c r="AG26" s="132"/>
      <c r="AH26" s="132"/>
      <c r="AI26" s="124"/>
      <c r="AJ26" s="124"/>
      <c r="AK26" s="135"/>
      <c r="AL26" s="135"/>
      <c r="AM26" s="132"/>
      <c r="AN26" s="132"/>
      <c r="AO26" s="124"/>
      <c r="AP26" s="124"/>
      <c r="AQ26" s="132"/>
      <c r="AR26" s="141"/>
      <c r="AS26" s="141"/>
      <c r="AT26" s="132"/>
      <c r="AU26" s="132"/>
      <c r="AV26" s="132"/>
      <c r="AW26" s="132"/>
      <c r="AX26" s="132"/>
      <c r="AY26" s="141"/>
      <c r="AZ26" s="141"/>
      <c r="BA26" s="132"/>
      <c r="BB26" s="132"/>
      <c r="BC26" s="132"/>
      <c r="BD26" s="153">
        <v>1</v>
      </c>
      <c r="BE26" s="153">
        <v>1</v>
      </c>
      <c r="BF26" s="141"/>
      <c r="BG26" s="141"/>
      <c r="BH26" s="153">
        <v>1</v>
      </c>
      <c r="BI26" s="153">
        <v>1</v>
      </c>
      <c r="BJ26" s="153">
        <v>1</v>
      </c>
      <c r="BK26" s="153">
        <v>1</v>
      </c>
      <c r="BL26" s="153">
        <v>1</v>
      </c>
      <c r="BM26" s="141"/>
      <c r="BN26" s="141"/>
      <c r="BO26" s="153">
        <v>1</v>
      </c>
      <c r="BP26" s="153">
        <v>1</v>
      </c>
      <c r="BQ26" s="153">
        <v>1</v>
      </c>
      <c r="BR26" s="132"/>
      <c r="BS26" s="141"/>
      <c r="BT26" s="141"/>
      <c r="BU26" s="141"/>
      <c r="BV26" s="132"/>
      <c r="BW26" s="132"/>
      <c r="BX26" s="132"/>
      <c r="BY26" s="132"/>
      <c r="BZ26" s="141"/>
      <c r="CA26" s="141"/>
      <c r="CB26" s="141"/>
      <c r="CC26" s="132"/>
      <c r="CD26" s="132"/>
      <c r="CE26" s="132"/>
      <c r="CF26" s="132"/>
      <c r="CG26" s="132"/>
      <c r="CH26" s="141"/>
      <c r="CI26" s="141"/>
      <c r="CJ26" s="132"/>
      <c r="CK26" s="132"/>
      <c r="CL26" s="132"/>
      <c r="CM26" s="132"/>
      <c r="CN26" s="132"/>
      <c r="CO26" s="141"/>
      <c r="CP26" s="141"/>
      <c r="CQ26" s="132"/>
      <c r="CR26" s="132"/>
      <c r="CS26" s="132"/>
      <c r="CT26" s="132"/>
      <c r="CU26" s="132"/>
      <c r="CV26" s="141"/>
      <c r="CW26" s="141"/>
      <c r="CX26" s="132"/>
      <c r="CY26" s="132"/>
      <c r="CZ26" s="132"/>
      <c r="DA26" s="132"/>
      <c r="DB26" s="132"/>
      <c r="DC26" s="141"/>
      <c r="DD26" s="146"/>
      <c r="DE26" s="57"/>
    </row>
    <row r="27" spans="2:109">
      <c r="B27" s="188"/>
      <c r="C27" s="9">
        <v>2</v>
      </c>
      <c r="D27" s="102" t="s">
        <v>110</v>
      </c>
      <c r="E27" s="92" t="s">
        <v>111</v>
      </c>
      <c r="F27" s="96" t="s">
        <v>66</v>
      </c>
      <c r="G27" s="96" t="s">
        <v>84</v>
      </c>
      <c r="H27" s="96"/>
      <c r="I27" s="111">
        <f>0/L27</f>
        <v>0</v>
      </c>
      <c r="J27" s="94">
        <v>46384</v>
      </c>
      <c r="K27" s="94">
        <v>46387</v>
      </c>
      <c r="L27" s="117">
        <f>SUM(M27:DD27)</f>
        <v>4</v>
      </c>
      <c r="M27" s="130"/>
      <c r="N27" s="130"/>
      <c r="O27" s="130"/>
      <c r="P27" s="136"/>
      <c r="Q27" s="136"/>
      <c r="R27" s="132"/>
      <c r="S27" s="132"/>
      <c r="T27" s="132"/>
      <c r="U27" s="130"/>
      <c r="V27" s="130"/>
      <c r="W27" s="136"/>
      <c r="X27" s="136"/>
      <c r="Y27" s="132"/>
      <c r="Z27" s="132"/>
      <c r="AA27" s="132"/>
      <c r="AB27" s="132"/>
      <c r="AC27" s="132"/>
      <c r="AD27" s="141"/>
      <c r="AE27" s="141"/>
      <c r="AF27" s="132"/>
      <c r="AG27" s="132"/>
      <c r="AH27" s="132"/>
      <c r="AI27" s="132"/>
      <c r="AJ27" s="132"/>
      <c r="AK27" s="141"/>
      <c r="AL27" s="141"/>
      <c r="AM27" s="132"/>
      <c r="AN27" s="132"/>
      <c r="AO27" s="132"/>
      <c r="AP27" s="132"/>
      <c r="AQ27" s="124"/>
      <c r="AR27" s="135"/>
      <c r="AS27" s="135"/>
      <c r="AT27" s="132"/>
      <c r="AU27" s="132"/>
      <c r="AV27" s="124"/>
      <c r="AW27" s="124"/>
      <c r="AX27" s="124"/>
      <c r="AY27" s="141"/>
      <c r="AZ27" s="141"/>
      <c r="BA27" s="132"/>
      <c r="BB27" s="132"/>
      <c r="BC27" s="132"/>
      <c r="BD27" s="132"/>
      <c r="BE27" s="132"/>
      <c r="BF27" s="141"/>
      <c r="BG27" s="141"/>
      <c r="BH27" s="132"/>
      <c r="BI27" s="132"/>
      <c r="BJ27" s="132"/>
      <c r="BK27" s="132"/>
      <c r="BL27" s="132"/>
      <c r="BM27" s="141"/>
      <c r="BN27" s="141"/>
      <c r="BO27" s="132"/>
      <c r="BP27" s="132"/>
      <c r="BQ27" s="132"/>
      <c r="BR27" s="132"/>
      <c r="BS27" s="141"/>
      <c r="BT27" s="141"/>
      <c r="BU27" s="141"/>
      <c r="BV27" s="153">
        <v>1</v>
      </c>
      <c r="BW27" s="153">
        <v>1</v>
      </c>
      <c r="BX27" s="153">
        <v>1</v>
      </c>
      <c r="BY27" s="153">
        <v>1</v>
      </c>
      <c r="BZ27" s="141"/>
      <c r="CA27" s="141"/>
      <c r="CB27" s="141"/>
      <c r="CC27" s="132"/>
      <c r="CD27" s="132"/>
      <c r="CE27" s="132"/>
      <c r="CF27" s="132"/>
      <c r="CG27" s="132"/>
      <c r="CH27" s="141"/>
      <c r="CI27" s="141"/>
      <c r="CJ27" s="132"/>
      <c r="CK27" s="132"/>
      <c r="CL27" s="132"/>
      <c r="CM27" s="132"/>
      <c r="CN27" s="132"/>
      <c r="CO27" s="141"/>
      <c r="CP27" s="141"/>
      <c r="CQ27" s="132"/>
      <c r="CR27" s="132"/>
      <c r="CS27" s="132"/>
      <c r="CT27" s="132"/>
      <c r="CU27" s="132"/>
      <c r="CV27" s="141"/>
      <c r="CW27" s="141"/>
      <c r="CX27" s="132"/>
      <c r="CY27" s="132"/>
      <c r="CZ27" s="132"/>
      <c r="DA27" s="132"/>
      <c r="DB27" s="132"/>
      <c r="DC27" s="141"/>
      <c r="DD27" s="146"/>
      <c r="DE27" s="57"/>
    </row>
    <row r="28" spans="2:109">
      <c r="B28" s="188"/>
      <c r="C28" s="9">
        <v>1</v>
      </c>
      <c r="D28" s="102" t="s">
        <v>112</v>
      </c>
      <c r="E28" s="97" t="s">
        <v>113</v>
      </c>
      <c r="F28" s="86"/>
      <c r="G28" s="86"/>
      <c r="H28" s="86"/>
      <c r="I28" s="112">
        <f>AVERAGE(I29:I32)</f>
        <v>0</v>
      </c>
      <c r="J28" s="98">
        <f>MIN(J29:J32)</f>
        <v>46356</v>
      </c>
      <c r="K28" s="98">
        <f>MAX(K29:K32)</f>
        <v>46377</v>
      </c>
      <c r="L28" s="120">
        <f>SUM(L29:L32)</f>
        <v>22</v>
      </c>
      <c r="M28" s="130"/>
      <c r="N28" s="130"/>
      <c r="O28" s="130"/>
      <c r="P28" s="136"/>
      <c r="Q28" s="136"/>
      <c r="R28" s="132"/>
      <c r="S28" s="132"/>
      <c r="T28" s="132"/>
      <c r="U28" s="130"/>
      <c r="V28" s="130"/>
      <c r="W28" s="136"/>
      <c r="X28" s="136"/>
      <c r="Y28" s="132"/>
      <c r="Z28" s="132"/>
      <c r="AA28" s="132"/>
      <c r="AB28" s="132"/>
      <c r="AC28" s="132"/>
      <c r="AD28" s="141"/>
      <c r="AE28" s="141"/>
      <c r="AF28" s="132"/>
      <c r="AG28" s="132"/>
      <c r="AH28" s="132"/>
      <c r="AI28" s="132"/>
      <c r="AJ28" s="132"/>
      <c r="AK28" s="141"/>
      <c r="AL28" s="141"/>
      <c r="AM28" s="132"/>
      <c r="AN28" s="132"/>
      <c r="AO28" s="132"/>
      <c r="AP28" s="132"/>
      <c r="AQ28" s="132"/>
      <c r="AR28" s="141"/>
      <c r="AS28" s="141"/>
      <c r="AT28" s="132"/>
      <c r="AU28" s="132"/>
      <c r="AV28" s="132"/>
      <c r="AW28" s="132"/>
      <c r="AX28" s="132"/>
      <c r="AY28" s="135"/>
      <c r="AZ28" s="135"/>
      <c r="BA28" s="132"/>
      <c r="BB28" s="132"/>
      <c r="BC28" s="124"/>
      <c r="BD28" s="124"/>
      <c r="BE28" s="124"/>
      <c r="BF28" s="135"/>
      <c r="BG28" s="141"/>
      <c r="BH28" s="132"/>
      <c r="BI28" s="132"/>
      <c r="BJ28" s="132"/>
      <c r="BK28" s="132"/>
      <c r="BL28" s="132"/>
      <c r="BM28" s="141"/>
      <c r="BN28" s="141"/>
      <c r="BO28" s="132"/>
      <c r="BP28" s="132"/>
      <c r="BQ28" s="132"/>
      <c r="BR28" s="132"/>
      <c r="BS28" s="141"/>
      <c r="BT28" s="141"/>
      <c r="BU28" s="141"/>
      <c r="BV28" s="132"/>
      <c r="BW28" s="132"/>
      <c r="BX28" s="132"/>
      <c r="BY28" s="132"/>
      <c r="BZ28" s="141"/>
      <c r="CA28" s="141"/>
      <c r="CB28" s="141"/>
      <c r="CC28" s="132"/>
      <c r="CD28" s="132"/>
      <c r="CE28" s="132"/>
      <c r="CF28" s="132"/>
      <c r="CG28" s="132"/>
      <c r="CH28" s="141"/>
      <c r="CI28" s="141"/>
      <c r="CJ28" s="132"/>
      <c r="CK28" s="132"/>
      <c r="CL28" s="132"/>
      <c r="CM28" s="132"/>
      <c r="CN28" s="132"/>
      <c r="CO28" s="141"/>
      <c r="CP28" s="141"/>
      <c r="CQ28" s="132"/>
      <c r="CR28" s="132"/>
      <c r="CS28" s="132"/>
      <c r="CT28" s="132"/>
      <c r="CU28" s="132"/>
      <c r="CV28" s="141"/>
      <c r="CW28" s="141"/>
      <c r="CX28" s="132"/>
      <c r="CY28" s="132"/>
      <c r="CZ28" s="132"/>
      <c r="DA28" s="132"/>
      <c r="DB28" s="132"/>
      <c r="DC28" s="141"/>
      <c r="DD28" s="146"/>
      <c r="DE28" s="57"/>
    </row>
    <row r="29" spans="2:109">
      <c r="B29" s="188"/>
      <c r="C29" s="9">
        <v>2</v>
      </c>
      <c r="D29" s="102" t="s">
        <v>114</v>
      </c>
      <c r="E29" s="92" t="s">
        <v>115</v>
      </c>
      <c r="F29" s="96" t="s">
        <v>116</v>
      </c>
      <c r="G29" s="96" t="s">
        <v>81</v>
      </c>
      <c r="H29" s="96"/>
      <c r="I29" s="111">
        <f>0/L29</f>
        <v>0</v>
      </c>
      <c r="J29" s="94">
        <v>46356</v>
      </c>
      <c r="K29" s="94">
        <v>46363</v>
      </c>
      <c r="L29" s="117">
        <f>SUM(M29:DD29)</f>
        <v>6</v>
      </c>
      <c r="M29" s="130"/>
      <c r="N29" s="130"/>
      <c r="O29" s="130"/>
      <c r="P29" s="136"/>
      <c r="Q29" s="136"/>
      <c r="R29" s="132"/>
      <c r="S29" s="132"/>
      <c r="T29" s="132"/>
      <c r="U29" s="130"/>
      <c r="V29" s="130"/>
      <c r="W29" s="136"/>
      <c r="X29" s="136"/>
      <c r="Y29" s="132"/>
      <c r="Z29" s="132"/>
      <c r="AA29" s="132"/>
      <c r="AB29" s="132"/>
      <c r="AC29" s="132"/>
      <c r="AD29" s="141"/>
      <c r="AE29" s="141"/>
      <c r="AF29" s="132"/>
      <c r="AG29" s="132"/>
      <c r="AH29" s="132"/>
      <c r="AI29" s="132"/>
      <c r="AJ29" s="132"/>
      <c r="AK29" s="141"/>
      <c r="AL29" s="141"/>
      <c r="AM29" s="132"/>
      <c r="AN29" s="132"/>
      <c r="AO29" s="132"/>
      <c r="AP29" s="132"/>
      <c r="AQ29" s="132"/>
      <c r="AR29" s="141"/>
      <c r="AS29" s="141"/>
      <c r="AT29" s="153">
        <v>1</v>
      </c>
      <c r="AU29" s="153">
        <v>1</v>
      </c>
      <c r="AV29" s="153">
        <v>1</v>
      </c>
      <c r="AW29" s="153">
        <v>1</v>
      </c>
      <c r="AX29" s="153">
        <v>1</v>
      </c>
      <c r="AY29" s="141"/>
      <c r="AZ29" s="141"/>
      <c r="BA29" s="153">
        <v>1</v>
      </c>
      <c r="BB29" s="132"/>
      <c r="BC29" s="132"/>
      <c r="BD29" s="132"/>
      <c r="BE29" s="132"/>
      <c r="BF29" s="141"/>
      <c r="BG29" s="135"/>
      <c r="BH29" s="132"/>
      <c r="BI29" s="132"/>
      <c r="BJ29" s="124"/>
      <c r="BK29" s="124"/>
      <c r="BL29" s="124"/>
      <c r="BM29" s="135"/>
      <c r="BN29" s="135"/>
      <c r="BO29" s="132"/>
      <c r="BP29" s="132"/>
      <c r="BQ29" s="132"/>
      <c r="BR29" s="132"/>
      <c r="BS29" s="141"/>
      <c r="BT29" s="141"/>
      <c r="BU29" s="141"/>
      <c r="BV29" s="132"/>
      <c r="BW29" s="132"/>
      <c r="BX29" s="132"/>
      <c r="BY29" s="132"/>
      <c r="BZ29" s="141"/>
      <c r="CA29" s="141"/>
      <c r="CB29" s="141"/>
      <c r="CC29" s="132"/>
      <c r="CD29" s="132"/>
      <c r="CE29" s="132"/>
      <c r="CF29" s="132"/>
      <c r="CG29" s="132"/>
      <c r="CH29" s="141"/>
      <c r="CI29" s="141"/>
      <c r="CJ29" s="132"/>
      <c r="CK29" s="132"/>
      <c r="CL29" s="132"/>
      <c r="CM29" s="132"/>
      <c r="CN29" s="132"/>
      <c r="CO29" s="141"/>
      <c r="CP29" s="141"/>
      <c r="CQ29" s="132"/>
      <c r="CR29" s="132"/>
      <c r="CS29" s="132"/>
      <c r="CT29" s="132"/>
      <c r="CU29" s="132"/>
      <c r="CV29" s="141"/>
      <c r="CW29" s="141"/>
      <c r="CX29" s="132"/>
      <c r="CY29" s="132"/>
      <c r="CZ29" s="132"/>
      <c r="DA29" s="132"/>
      <c r="DB29" s="132"/>
      <c r="DC29" s="141"/>
      <c r="DD29" s="146"/>
      <c r="DE29" s="57"/>
    </row>
    <row r="30" spans="2:109">
      <c r="B30" s="188"/>
      <c r="C30" s="9">
        <v>2</v>
      </c>
      <c r="D30" s="102" t="s">
        <v>117</v>
      </c>
      <c r="E30" s="92" t="s">
        <v>118</v>
      </c>
      <c r="F30" s="96" t="s">
        <v>70</v>
      </c>
      <c r="G30" s="96" t="s">
        <v>107</v>
      </c>
      <c r="H30" s="96"/>
      <c r="I30" s="111">
        <f>0/L30</f>
        <v>0</v>
      </c>
      <c r="J30" s="94">
        <v>46364</v>
      </c>
      <c r="K30" s="94">
        <v>46370</v>
      </c>
      <c r="L30" s="117">
        <f>SUM(M30:DD30)</f>
        <v>5</v>
      </c>
      <c r="M30" s="130"/>
      <c r="N30" s="130"/>
      <c r="O30" s="130"/>
      <c r="P30" s="136"/>
      <c r="Q30" s="136"/>
      <c r="R30" s="132"/>
      <c r="S30" s="132"/>
      <c r="T30" s="132"/>
      <c r="U30" s="132"/>
      <c r="V30" s="132"/>
      <c r="W30" s="141"/>
      <c r="X30" s="141"/>
      <c r="Y30" s="132"/>
      <c r="Z30" s="132"/>
      <c r="AA30" s="132"/>
      <c r="AB30" s="132"/>
      <c r="AC30" s="132"/>
      <c r="AD30" s="141"/>
      <c r="AE30" s="141"/>
      <c r="AF30" s="132"/>
      <c r="AG30" s="132"/>
      <c r="AH30" s="132"/>
      <c r="AI30" s="132"/>
      <c r="AJ30" s="132"/>
      <c r="AK30" s="141"/>
      <c r="AL30" s="141"/>
      <c r="AM30" s="132"/>
      <c r="AN30" s="132"/>
      <c r="AO30" s="132"/>
      <c r="AP30" s="132"/>
      <c r="AQ30" s="132"/>
      <c r="AR30" s="141"/>
      <c r="AS30" s="141"/>
      <c r="AT30" s="132"/>
      <c r="AU30" s="132"/>
      <c r="AV30" s="132"/>
      <c r="AW30" s="132"/>
      <c r="AX30" s="132"/>
      <c r="AY30" s="141"/>
      <c r="AZ30" s="141"/>
      <c r="BA30" s="132"/>
      <c r="BB30" s="153">
        <v>1</v>
      </c>
      <c r="BC30" s="153">
        <v>1</v>
      </c>
      <c r="BD30" s="153">
        <v>1</v>
      </c>
      <c r="BE30" s="153">
        <v>1</v>
      </c>
      <c r="BF30" s="141"/>
      <c r="BG30" s="141"/>
      <c r="BH30" s="153">
        <v>1</v>
      </c>
      <c r="BI30" s="132"/>
      <c r="BJ30" s="132"/>
      <c r="BK30" s="132"/>
      <c r="BL30" s="132"/>
      <c r="BM30" s="141"/>
      <c r="BN30" s="141"/>
      <c r="BO30" s="132"/>
      <c r="BP30" s="132"/>
      <c r="BQ30" s="124"/>
      <c r="BR30" s="124"/>
      <c r="BS30" s="141"/>
      <c r="BT30" s="135"/>
      <c r="BU30" s="135"/>
      <c r="BV30" s="132"/>
      <c r="BW30" s="132"/>
      <c r="BX30" s="124"/>
      <c r="BY30" s="124"/>
      <c r="BZ30" s="141"/>
      <c r="CA30" s="141"/>
      <c r="CB30" s="141"/>
      <c r="CC30" s="132"/>
      <c r="CD30" s="132"/>
      <c r="CE30" s="132"/>
      <c r="CF30" s="132"/>
      <c r="CG30" s="132"/>
      <c r="CH30" s="141"/>
      <c r="CI30" s="141"/>
      <c r="CJ30" s="132"/>
      <c r="CK30" s="132"/>
      <c r="CL30" s="132"/>
      <c r="CM30" s="133"/>
      <c r="CN30" s="132"/>
      <c r="CO30" s="141"/>
      <c r="CP30" s="141"/>
      <c r="CQ30" s="132"/>
      <c r="CR30" s="132"/>
      <c r="CS30" s="132"/>
      <c r="CT30" s="132"/>
      <c r="CU30" s="132"/>
      <c r="CV30" s="141"/>
      <c r="CW30" s="141"/>
      <c r="CX30" s="132"/>
      <c r="CY30" s="132"/>
      <c r="CZ30" s="132"/>
      <c r="DA30" s="132"/>
      <c r="DB30" s="132"/>
      <c r="DC30" s="141"/>
      <c r="DD30" s="146"/>
      <c r="DE30" s="57"/>
    </row>
    <row r="31" spans="2:109">
      <c r="B31" s="188"/>
      <c r="C31" s="9">
        <v>2</v>
      </c>
      <c r="D31" s="102" t="s">
        <v>119</v>
      </c>
      <c r="E31" s="92" t="s">
        <v>120</v>
      </c>
      <c r="F31" s="96" t="s">
        <v>121</v>
      </c>
      <c r="G31" s="96" t="s">
        <v>122</v>
      </c>
      <c r="H31" s="96"/>
      <c r="I31" s="111">
        <f>0/L31</f>
        <v>0</v>
      </c>
      <c r="J31" s="94">
        <v>46371</v>
      </c>
      <c r="K31" s="94">
        <v>46377</v>
      </c>
      <c r="L31" s="117">
        <f>SUM(M31:DD31)</f>
        <v>5</v>
      </c>
      <c r="M31" s="130"/>
      <c r="N31" s="130"/>
      <c r="O31" s="130"/>
      <c r="P31" s="136"/>
      <c r="Q31" s="136"/>
      <c r="R31" s="132"/>
      <c r="S31" s="132"/>
      <c r="T31" s="132"/>
      <c r="U31" s="132"/>
      <c r="V31" s="132"/>
      <c r="W31" s="141"/>
      <c r="X31" s="141"/>
      <c r="Y31" s="132"/>
      <c r="Z31" s="132"/>
      <c r="AA31" s="132"/>
      <c r="AB31" s="132"/>
      <c r="AC31" s="132"/>
      <c r="AD31" s="141"/>
      <c r="AE31" s="141"/>
      <c r="AF31" s="132"/>
      <c r="AG31" s="132"/>
      <c r="AH31" s="132"/>
      <c r="AI31" s="132"/>
      <c r="AJ31" s="132"/>
      <c r="AK31" s="141"/>
      <c r="AL31" s="141"/>
      <c r="AM31" s="132"/>
      <c r="AN31" s="132"/>
      <c r="AO31" s="132"/>
      <c r="AP31" s="132"/>
      <c r="AQ31" s="132"/>
      <c r="AR31" s="141"/>
      <c r="AS31" s="141"/>
      <c r="AT31" s="132"/>
      <c r="AU31" s="132"/>
      <c r="AV31" s="132"/>
      <c r="AW31" s="132"/>
      <c r="AX31" s="132"/>
      <c r="AY31" s="141"/>
      <c r="AZ31" s="141"/>
      <c r="BA31" s="132"/>
      <c r="BB31" s="132"/>
      <c r="BC31" s="132"/>
      <c r="BD31" s="132"/>
      <c r="BE31" s="132"/>
      <c r="BF31" s="141"/>
      <c r="BG31" s="141"/>
      <c r="BH31" s="132"/>
      <c r="BI31" s="153">
        <v>1</v>
      </c>
      <c r="BJ31" s="153">
        <v>1</v>
      </c>
      <c r="BK31" s="153">
        <v>1</v>
      </c>
      <c r="BL31" s="153">
        <v>1</v>
      </c>
      <c r="BM31" s="141"/>
      <c r="BN31" s="141"/>
      <c r="BO31" s="153">
        <v>1</v>
      </c>
      <c r="BP31" s="132"/>
      <c r="BQ31" s="132"/>
      <c r="BR31" s="132"/>
      <c r="BS31" s="141"/>
      <c r="BT31" s="141"/>
      <c r="BU31" s="141"/>
      <c r="BV31" s="132"/>
      <c r="BW31" s="132"/>
      <c r="BX31" s="132"/>
      <c r="BY31" s="132"/>
      <c r="BZ31" s="141"/>
      <c r="CA31" s="135"/>
      <c r="CB31" s="135"/>
      <c r="CC31" s="132"/>
      <c r="CD31" s="132"/>
      <c r="CE31" s="124"/>
      <c r="CF31" s="124"/>
      <c r="CG31" s="124"/>
      <c r="CH31" s="135"/>
      <c r="CI31" s="141"/>
      <c r="CJ31" s="132"/>
      <c r="CK31" s="132"/>
      <c r="CL31" s="132"/>
      <c r="CM31" s="133"/>
      <c r="CN31" s="132"/>
      <c r="CO31" s="141"/>
      <c r="CP31" s="141"/>
      <c r="CQ31" s="132"/>
      <c r="CR31" s="132"/>
      <c r="CS31" s="132"/>
      <c r="CT31" s="132"/>
      <c r="CU31" s="132"/>
      <c r="CV31" s="141"/>
      <c r="CW31" s="141"/>
      <c r="CX31" s="132"/>
      <c r="CY31" s="132"/>
      <c r="CZ31" s="132"/>
      <c r="DA31" s="132"/>
      <c r="DB31" s="132"/>
      <c r="DC31" s="141"/>
      <c r="DD31" s="146"/>
      <c r="DE31" s="57"/>
    </row>
    <row r="32" spans="2:109">
      <c r="B32" s="188"/>
      <c r="C32" s="9">
        <v>2</v>
      </c>
      <c r="D32" s="102" t="s">
        <v>123</v>
      </c>
      <c r="E32" s="92" t="s">
        <v>124</v>
      </c>
      <c r="F32" s="96" t="s">
        <v>125</v>
      </c>
      <c r="G32" s="96" t="s">
        <v>81</v>
      </c>
      <c r="H32" s="96"/>
      <c r="I32" s="111">
        <f>0/L32</f>
        <v>0</v>
      </c>
      <c r="J32" s="94">
        <v>46370</v>
      </c>
      <c r="K32" s="94">
        <v>46377</v>
      </c>
      <c r="L32" s="117">
        <f>SUM(M32:DD32)</f>
        <v>6</v>
      </c>
      <c r="M32" s="130"/>
      <c r="N32" s="130"/>
      <c r="O32" s="130"/>
      <c r="P32" s="136"/>
      <c r="Q32" s="136"/>
      <c r="R32" s="132"/>
      <c r="S32" s="132"/>
      <c r="T32" s="132"/>
      <c r="U32" s="132"/>
      <c r="V32" s="132"/>
      <c r="W32" s="141"/>
      <c r="X32" s="141"/>
      <c r="Y32" s="132"/>
      <c r="Z32" s="132"/>
      <c r="AA32" s="132"/>
      <c r="AB32" s="132"/>
      <c r="AC32" s="132"/>
      <c r="AD32" s="141"/>
      <c r="AE32" s="141"/>
      <c r="AF32" s="132"/>
      <c r="AG32" s="132"/>
      <c r="AH32" s="132"/>
      <c r="AI32" s="132"/>
      <c r="AJ32" s="132"/>
      <c r="AK32" s="141"/>
      <c r="AL32" s="141"/>
      <c r="AM32" s="132"/>
      <c r="AN32" s="132"/>
      <c r="AO32" s="132"/>
      <c r="AP32" s="132"/>
      <c r="AQ32" s="132"/>
      <c r="AR32" s="141"/>
      <c r="AS32" s="141"/>
      <c r="AT32" s="132"/>
      <c r="AU32" s="132"/>
      <c r="AV32" s="132"/>
      <c r="AW32" s="132"/>
      <c r="AX32" s="132"/>
      <c r="AY32" s="141"/>
      <c r="AZ32" s="141"/>
      <c r="BA32" s="132"/>
      <c r="BB32" s="132"/>
      <c r="BC32" s="132"/>
      <c r="BD32" s="132"/>
      <c r="BE32" s="132"/>
      <c r="BF32" s="141"/>
      <c r="BG32" s="141"/>
      <c r="BH32" s="153">
        <v>1</v>
      </c>
      <c r="BI32" s="153">
        <v>1</v>
      </c>
      <c r="BJ32" s="153">
        <v>1</v>
      </c>
      <c r="BK32" s="153">
        <v>1</v>
      </c>
      <c r="BL32" s="153">
        <v>1</v>
      </c>
      <c r="BM32" s="141"/>
      <c r="BN32" s="141"/>
      <c r="BO32" s="153">
        <v>1</v>
      </c>
      <c r="BP32" s="132"/>
      <c r="BQ32" s="132"/>
      <c r="BR32" s="132"/>
      <c r="BS32" s="141"/>
      <c r="BT32" s="141"/>
      <c r="BU32" s="141"/>
      <c r="BV32" s="132"/>
      <c r="BW32" s="132"/>
      <c r="BX32" s="132"/>
      <c r="BY32" s="132"/>
      <c r="BZ32" s="141"/>
      <c r="CA32" s="141"/>
      <c r="CB32" s="141"/>
      <c r="CC32" s="132"/>
      <c r="CD32" s="132"/>
      <c r="CE32" s="132"/>
      <c r="CF32" s="132"/>
      <c r="CG32" s="132"/>
      <c r="CH32" s="141"/>
      <c r="CI32" s="135"/>
      <c r="CJ32" s="132"/>
      <c r="CK32" s="132"/>
      <c r="CL32" s="124"/>
      <c r="CM32" s="124"/>
      <c r="CN32" s="124"/>
      <c r="CO32" s="135"/>
      <c r="CP32" s="135"/>
      <c r="CQ32" s="132"/>
      <c r="CR32" s="132"/>
      <c r="CS32" s="132"/>
      <c r="CT32" s="132"/>
      <c r="CU32" s="132"/>
      <c r="CV32" s="141"/>
      <c r="CW32" s="141"/>
      <c r="CX32" s="132"/>
      <c r="CY32" s="132"/>
      <c r="CZ32" s="132"/>
      <c r="DA32" s="132"/>
      <c r="DB32" s="132"/>
      <c r="DC32" s="141"/>
      <c r="DD32" s="146"/>
      <c r="DE32" s="57"/>
    </row>
    <row r="33" spans="2:109">
      <c r="B33" s="188" t="s">
        <v>126</v>
      </c>
      <c r="C33" s="9">
        <v>1</v>
      </c>
      <c r="D33" s="102" t="s">
        <v>127</v>
      </c>
      <c r="E33" s="97" t="s">
        <v>128</v>
      </c>
      <c r="F33" s="86" t="s">
        <v>129</v>
      </c>
      <c r="G33" s="86" t="s">
        <v>130</v>
      </c>
      <c r="H33" s="86"/>
      <c r="I33" s="112">
        <f>0/L33</f>
        <v>0</v>
      </c>
      <c r="J33" s="98">
        <v>46391</v>
      </c>
      <c r="K33" s="98">
        <v>46398</v>
      </c>
      <c r="L33" s="120">
        <f>SUM(M33:DD33)</f>
        <v>6</v>
      </c>
      <c r="M33" s="130"/>
      <c r="N33" s="130"/>
      <c r="O33" s="130"/>
      <c r="P33" s="136"/>
      <c r="Q33" s="136"/>
      <c r="R33" s="132"/>
      <c r="S33" s="132"/>
      <c r="T33" s="132"/>
      <c r="U33" s="132"/>
      <c r="V33" s="132"/>
      <c r="W33" s="141"/>
      <c r="X33" s="141"/>
      <c r="Y33" s="132"/>
      <c r="Z33" s="132"/>
      <c r="AA33" s="132"/>
      <c r="AB33" s="132"/>
      <c r="AC33" s="132"/>
      <c r="AD33" s="141"/>
      <c r="AE33" s="141"/>
      <c r="AF33" s="132"/>
      <c r="AG33" s="132"/>
      <c r="AH33" s="132"/>
      <c r="AI33" s="132"/>
      <c r="AJ33" s="132"/>
      <c r="AK33" s="141"/>
      <c r="AL33" s="141"/>
      <c r="AM33" s="132"/>
      <c r="AN33" s="132"/>
      <c r="AO33" s="132"/>
      <c r="AP33" s="132"/>
      <c r="AQ33" s="132"/>
      <c r="AR33" s="141"/>
      <c r="AS33" s="141"/>
      <c r="AT33" s="132"/>
      <c r="AU33" s="132"/>
      <c r="AV33" s="132"/>
      <c r="AW33" s="132"/>
      <c r="AX33" s="132"/>
      <c r="AY33" s="141"/>
      <c r="AZ33" s="141"/>
      <c r="BA33" s="132"/>
      <c r="BB33" s="132"/>
      <c r="BC33" s="132"/>
      <c r="BD33" s="132"/>
      <c r="BE33" s="132"/>
      <c r="BF33" s="141"/>
      <c r="BG33" s="141"/>
      <c r="BH33" s="132"/>
      <c r="BI33" s="132"/>
      <c r="BJ33" s="132"/>
      <c r="BK33" s="132"/>
      <c r="BL33" s="132"/>
      <c r="BM33" s="141"/>
      <c r="BN33" s="141"/>
      <c r="BO33" s="132"/>
      <c r="BP33" s="132"/>
      <c r="BQ33" s="132"/>
      <c r="BR33" s="132"/>
      <c r="BS33" s="141"/>
      <c r="BT33" s="141"/>
      <c r="BU33" s="141"/>
      <c r="BV33" s="132"/>
      <c r="BW33" s="132"/>
      <c r="BX33" s="132"/>
      <c r="BY33" s="132"/>
      <c r="BZ33" s="141"/>
      <c r="CA33" s="141"/>
      <c r="CB33" s="141"/>
      <c r="CC33" s="154">
        <v>1</v>
      </c>
      <c r="CD33" s="154">
        <v>1</v>
      </c>
      <c r="CE33" s="154">
        <v>1</v>
      </c>
      <c r="CF33" s="154">
        <v>1</v>
      </c>
      <c r="CG33" s="154">
        <v>1</v>
      </c>
      <c r="CH33" s="141"/>
      <c r="CI33" s="141"/>
      <c r="CJ33" s="154">
        <v>1</v>
      </c>
      <c r="CK33" s="132"/>
      <c r="CL33" s="132"/>
      <c r="CM33" s="133"/>
      <c r="CN33" s="132"/>
      <c r="CO33" s="141"/>
      <c r="CP33" s="141"/>
      <c r="CQ33" s="132"/>
      <c r="CR33" s="132"/>
      <c r="CS33" s="124"/>
      <c r="CT33" s="124"/>
      <c r="CU33" s="124"/>
      <c r="CV33" s="135"/>
      <c r="CW33" s="135"/>
      <c r="CX33" s="132"/>
      <c r="CY33" s="132"/>
      <c r="CZ33" s="124"/>
      <c r="DA33" s="132"/>
      <c r="DB33" s="132"/>
      <c r="DC33" s="141"/>
      <c r="DD33" s="146"/>
      <c r="DE33" s="57"/>
    </row>
    <row r="34" spans="2:109" ht="14.25" customHeight="1">
      <c r="B34" s="188"/>
      <c r="C34" s="6">
        <v>1</v>
      </c>
      <c r="D34" s="103" t="s">
        <v>131</v>
      </c>
      <c r="E34" s="100" t="s">
        <v>132</v>
      </c>
      <c r="F34" s="89" t="s">
        <v>133</v>
      </c>
      <c r="G34" s="89" t="s">
        <v>134</v>
      </c>
      <c r="H34" s="107"/>
      <c r="I34" s="112">
        <f>0/L34</f>
        <v>0</v>
      </c>
      <c r="J34" s="90">
        <v>46398</v>
      </c>
      <c r="K34" s="90">
        <v>46405</v>
      </c>
      <c r="L34" s="122">
        <f>SUM(M34:DD34)</f>
        <v>6</v>
      </c>
      <c r="M34" s="128"/>
      <c r="N34" s="128"/>
      <c r="O34" s="128"/>
      <c r="P34" s="137"/>
      <c r="Q34" s="137"/>
      <c r="R34" s="128"/>
      <c r="S34" s="128"/>
      <c r="T34" s="128"/>
      <c r="U34" s="128"/>
      <c r="V34" s="128"/>
      <c r="W34" s="137"/>
      <c r="X34" s="137"/>
      <c r="Y34" s="128"/>
      <c r="Z34" s="128"/>
      <c r="AA34" s="128"/>
      <c r="AB34" s="128"/>
      <c r="AC34" s="128"/>
      <c r="AD34" s="137"/>
      <c r="AE34" s="137"/>
      <c r="AF34" s="128"/>
      <c r="AG34" s="128"/>
      <c r="AH34" s="128"/>
      <c r="AI34" s="128"/>
      <c r="AJ34" s="128"/>
      <c r="AK34" s="137"/>
      <c r="AL34" s="137"/>
      <c r="AM34" s="128"/>
      <c r="AN34" s="128"/>
      <c r="AO34" s="128"/>
      <c r="AP34" s="128"/>
      <c r="AQ34" s="128"/>
      <c r="AR34" s="137"/>
      <c r="AS34" s="137"/>
      <c r="AT34" s="128"/>
      <c r="AU34" s="128"/>
      <c r="AV34" s="128"/>
      <c r="AW34" s="128"/>
      <c r="AX34" s="128"/>
      <c r="AY34" s="137"/>
      <c r="AZ34" s="137"/>
      <c r="BA34" s="128"/>
      <c r="BB34" s="128"/>
      <c r="BC34" s="128"/>
      <c r="BD34" s="128"/>
      <c r="BE34" s="128"/>
      <c r="BF34" s="137"/>
      <c r="BG34" s="137"/>
      <c r="BH34" s="128"/>
      <c r="BI34" s="128"/>
      <c r="BJ34" s="128"/>
      <c r="BK34" s="128"/>
      <c r="BL34" s="128"/>
      <c r="BM34" s="137"/>
      <c r="BN34" s="137"/>
      <c r="BO34" s="128"/>
      <c r="BP34" s="128"/>
      <c r="BQ34" s="128"/>
      <c r="BR34" s="128"/>
      <c r="BS34" s="137"/>
      <c r="BT34" s="137"/>
      <c r="BU34" s="137"/>
      <c r="BV34" s="128"/>
      <c r="BW34" s="128"/>
      <c r="BX34" s="128"/>
      <c r="BY34" s="128"/>
      <c r="BZ34" s="137"/>
      <c r="CA34" s="137"/>
      <c r="CB34" s="137"/>
      <c r="CC34" s="128"/>
      <c r="CD34" s="128"/>
      <c r="CE34" s="128"/>
      <c r="CF34" s="128"/>
      <c r="CG34" s="128"/>
      <c r="CH34" s="137"/>
      <c r="CI34" s="137"/>
      <c r="CJ34" s="149">
        <v>1</v>
      </c>
      <c r="CK34" s="149">
        <v>1</v>
      </c>
      <c r="CL34" s="149">
        <v>1</v>
      </c>
      <c r="CM34" s="155">
        <v>1</v>
      </c>
      <c r="CN34" s="149">
        <v>1</v>
      </c>
      <c r="CO34" s="137"/>
      <c r="CP34" s="137"/>
      <c r="CQ34" s="149">
        <v>1</v>
      </c>
      <c r="CR34" s="128"/>
      <c r="CS34" s="128"/>
      <c r="CT34" s="128"/>
      <c r="CU34" s="128"/>
      <c r="CV34" s="137"/>
      <c r="CW34" s="137"/>
      <c r="CX34" s="128"/>
      <c r="CY34" s="128"/>
      <c r="CZ34" s="128"/>
      <c r="DA34" s="128"/>
      <c r="DB34" s="128"/>
      <c r="DC34" s="137"/>
      <c r="DD34" s="144"/>
      <c r="DE34" s="54"/>
    </row>
    <row r="35" spans="2:109">
      <c r="B35" s="188"/>
      <c r="C35" s="14">
        <v>1</v>
      </c>
      <c r="D35" s="101" t="s">
        <v>135</v>
      </c>
      <c r="E35" s="82" t="s">
        <v>136</v>
      </c>
      <c r="F35" s="83" t="s">
        <v>44</v>
      </c>
      <c r="G35" s="83" t="s">
        <v>137</v>
      </c>
      <c r="H35" s="83"/>
      <c r="I35" s="108">
        <f>0/L35</f>
        <v>0</v>
      </c>
      <c r="J35" s="84">
        <v>46406</v>
      </c>
      <c r="K35" s="84">
        <v>46413</v>
      </c>
      <c r="L35" s="123">
        <f>SUM(M35:DD35)</f>
        <v>6</v>
      </c>
      <c r="M35" s="125"/>
      <c r="N35" s="125"/>
      <c r="O35" s="125"/>
      <c r="P35" s="134"/>
      <c r="Q35" s="134"/>
      <c r="R35" s="125"/>
      <c r="S35" s="125"/>
      <c r="T35" s="125"/>
      <c r="U35" s="125"/>
      <c r="V35" s="125"/>
      <c r="W35" s="134"/>
      <c r="X35" s="134"/>
      <c r="Y35" s="125"/>
      <c r="Z35" s="125"/>
      <c r="AA35" s="125"/>
      <c r="AB35" s="125"/>
      <c r="AC35" s="125"/>
      <c r="AD35" s="134"/>
      <c r="AE35" s="134"/>
      <c r="AF35" s="125"/>
      <c r="AG35" s="125"/>
      <c r="AH35" s="125"/>
      <c r="AI35" s="125"/>
      <c r="AJ35" s="125"/>
      <c r="AK35" s="134"/>
      <c r="AL35" s="134"/>
      <c r="AM35" s="125"/>
      <c r="AN35" s="125"/>
      <c r="AO35" s="125"/>
      <c r="AP35" s="125"/>
      <c r="AQ35" s="125"/>
      <c r="AR35" s="134"/>
      <c r="AS35" s="134"/>
      <c r="AT35" s="125"/>
      <c r="AU35" s="125"/>
      <c r="AV35" s="125"/>
      <c r="AW35" s="125"/>
      <c r="AX35" s="125"/>
      <c r="AY35" s="134"/>
      <c r="AZ35" s="134"/>
      <c r="BA35" s="125"/>
      <c r="BB35" s="125"/>
      <c r="BC35" s="125"/>
      <c r="BD35" s="125"/>
      <c r="BE35" s="125"/>
      <c r="BF35" s="134"/>
      <c r="BG35" s="134"/>
      <c r="BH35" s="125"/>
      <c r="BI35" s="125"/>
      <c r="BJ35" s="125"/>
      <c r="BK35" s="125"/>
      <c r="BL35" s="125"/>
      <c r="BM35" s="134"/>
      <c r="BN35" s="134"/>
      <c r="BO35" s="125"/>
      <c r="BP35" s="125"/>
      <c r="BQ35" s="125"/>
      <c r="BR35" s="125"/>
      <c r="BS35" s="134"/>
      <c r="BT35" s="134"/>
      <c r="BU35" s="134"/>
      <c r="BV35" s="125"/>
      <c r="BW35" s="125"/>
      <c r="BX35" s="125"/>
      <c r="BY35" s="125"/>
      <c r="BZ35" s="134"/>
      <c r="CA35" s="134"/>
      <c r="CB35" s="134"/>
      <c r="CC35" s="125"/>
      <c r="CD35" s="125"/>
      <c r="CE35" s="125"/>
      <c r="CF35" s="125"/>
      <c r="CG35" s="125"/>
      <c r="CH35" s="134"/>
      <c r="CI35" s="134"/>
      <c r="CJ35" s="125"/>
      <c r="CK35" s="125"/>
      <c r="CL35" s="125"/>
      <c r="CM35" s="126"/>
      <c r="CN35" s="125"/>
      <c r="CO35" s="134"/>
      <c r="CP35" s="134"/>
      <c r="CQ35" s="125"/>
      <c r="CR35" s="147">
        <v>1</v>
      </c>
      <c r="CS35" s="147">
        <v>1</v>
      </c>
      <c r="CT35" s="147">
        <v>1</v>
      </c>
      <c r="CU35" s="147">
        <v>1</v>
      </c>
      <c r="CV35" s="134"/>
      <c r="CW35" s="134"/>
      <c r="CX35" s="147">
        <v>1</v>
      </c>
      <c r="CY35" s="147">
        <v>1</v>
      </c>
      <c r="CZ35" s="125"/>
      <c r="DA35" s="125"/>
      <c r="DB35" s="125"/>
      <c r="DC35" s="134"/>
      <c r="DD35" s="135"/>
      <c r="DE35" s="52"/>
    </row>
    <row r="36" spans="2:109" ht="14.25" customHeight="1">
      <c r="B36" s="189"/>
      <c r="C36" s="6">
        <v>1</v>
      </c>
      <c r="D36" s="103" t="s">
        <v>138</v>
      </c>
      <c r="E36" s="88" t="s">
        <v>139</v>
      </c>
      <c r="F36" s="89" t="s">
        <v>16</v>
      </c>
      <c r="G36" s="89" t="s">
        <v>140</v>
      </c>
      <c r="H36" s="89"/>
      <c r="I36" s="110">
        <f>0/L36</f>
        <v>0</v>
      </c>
      <c r="J36" s="90">
        <v>46415</v>
      </c>
      <c r="K36" s="90">
        <v>46415</v>
      </c>
      <c r="L36" s="122">
        <f>SUM(M36:DD36)</f>
        <v>1</v>
      </c>
      <c r="M36" s="128"/>
      <c r="N36" s="128"/>
      <c r="O36" s="128"/>
      <c r="P36" s="137"/>
      <c r="Q36" s="137"/>
      <c r="R36" s="128"/>
      <c r="S36" s="128"/>
      <c r="T36" s="128"/>
      <c r="U36" s="128"/>
      <c r="V36" s="128"/>
      <c r="W36" s="137"/>
      <c r="X36" s="137"/>
      <c r="Y36" s="128"/>
      <c r="Z36" s="128"/>
      <c r="AA36" s="128"/>
      <c r="AB36" s="128"/>
      <c r="AC36" s="128"/>
      <c r="AD36" s="137"/>
      <c r="AE36" s="137"/>
      <c r="AF36" s="128"/>
      <c r="AG36" s="128"/>
      <c r="AH36" s="128"/>
      <c r="AI36" s="128"/>
      <c r="AJ36" s="128"/>
      <c r="AK36" s="137"/>
      <c r="AL36" s="137"/>
      <c r="AM36" s="128"/>
      <c r="AN36" s="128"/>
      <c r="AO36" s="128"/>
      <c r="AP36" s="128"/>
      <c r="AQ36" s="128"/>
      <c r="AR36" s="137"/>
      <c r="AS36" s="137"/>
      <c r="AT36" s="128"/>
      <c r="AU36" s="128"/>
      <c r="AV36" s="128"/>
      <c r="AW36" s="128"/>
      <c r="AX36" s="128"/>
      <c r="AY36" s="137"/>
      <c r="AZ36" s="137"/>
      <c r="BA36" s="128"/>
      <c r="BB36" s="128"/>
      <c r="BC36" s="128"/>
      <c r="BD36" s="128"/>
      <c r="BE36" s="128"/>
      <c r="BF36" s="137"/>
      <c r="BG36" s="137"/>
      <c r="BH36" s="128"/>
      <c r="BI36" s="128"/>
      <c r="BJ36" s="128"/>
      <c r="BK36" s="128"/>
      <c r="BL36" s="128"/>
      <c r="BM36" s="137"/>
      <c r="BN36" s="137"/>
      <c r="BO36" s="128"/>
      <c r="BP36" s="128"/>
      <c r="BQ36" s="128"/>
      <c r="BR36" s="128"/>
      <c r="BS36" s="137"/>
      <c r="BT36" s="137"/>
      <c r="BU36" s="137"/>
      <c r="BV36" s="128"/>
      <c r="BW36" s="128"/>
      <c r="BX36" s="128"/>
      <c r="BY36" s="128"/>
      <c r="BZ36" s="137"/>
      <c r="CA36" s="137"/>
      <c r="CB36" s="137"/>
      <c r="CC36" s="128"/>
      <c r="CD36" s="128"/>
      <c r="CE36" s="128"/>
      <c r="CF36" s="128"/>
      <c r="CG36" s="128"/>
      <c r="CH36" s="137"/>
      <c r="CI36" s="137"/>
      <c r="CJ36" s="128"/>
      <c r="CK36" s="128"/>
      <c r="CL36" s="128"/>
      <c r="CM36" s="129"/>
      <c r="CN36" s="128"/>
      <c r="CO36" s="137"/>
      <c r="CP36" s="137"/>
      <c r="CQ36" s="128"/>
      <c r="CR36" s="128"/>
      <c r="CS36" s="128"/>
      <c r="CT36" s="128"/>
      <c r="CU36" s="128"/>
      <c r="CV36" s="137"/>
      <c r="CW36" s="137"/>
      <c r="CX36" s="128"/>
      <c r="CY36" s="128"/>
      <c r="CZ36" s="128"/>
      <c r="DA36" s="149">
        <v>1</v>
      </c>
      <c r="DB36" s="128"/>
      <c r="DC36" s="137"/>
      <c r="DD36" s="135"/>
      <c r="DE36" s="4"/>
    </row>
    <row r="37" spans="2:109">
      <c r="E37" s="5"/>
      <c r="K37" s="20" t="s">
        <v>141</v>
      </c>
      <c r="L37" s="23">
        <f>SUM(M37:DD37)</f>
        <v>131</v>
      </c>
      <c r="M37" s="7">
        <f t="shared" ref="M37:AR37" si="0">SUM(M4:M36)</f>
        <v>0</v>
      </c>
      <c r="N37" s="7">
        <f t="shared" si="0"/>
        <v>0</v>
      </c>
      <c r="O37" s="7">
        <f t="shared" si="0"/>
        <v>0</v>
      </c>
      <c r="P37" s="7">
        <f t="shared" si="0"/>
        <v>0</v>
      </c>
      <c r="Q37" s="7">
        <f t="shared" si="0"/>
        <v>0</v>
      </c>
      <c r="R37" s="7">
        <f t="shared" si="0"/>
        <v>1</v>
      </c>
      <c r="S37" s="7">
        <f t="shared" si="0"/>
        <v>2</v>
      </c>
      <c r="T37" s="7">
        <f t="shared" si="0"/>
        <v>2</v>
      </c>
      <c r="U37" s="7">
        <f t="shared" si="0"/>
        <v>2</v>
      </c>
      <c r="V37" s="7">
        <f t="shared" si="0"/>
        <v>3</v>
      </c>
      <c r="W37" s="7">
        <f t="shared" si="0"/>
        <v>0</v>
      </c>
      <c r="X37" s="7">
        <f t="shared" si="0"/>
        <v>0</v>
      </c>
      <c r="Y37" s="7">
        <f t="shared" si="0"/>
        <v>1</v>
      </c>
      <c r="Z37" s="7">
        <f t="shared" si="0"/>
        <v>1</v>
      </c>
      <c r="AA37" s="7">
        <f t="shared" si="0"/>
        <v>1</v>
      </c>
      <c r="AB37" s="7">
        <f t="shared" si="0"/>
        <v>1</v>
      </c>
      <c r="AC37" s="7">
        <f t="shared" si="0"/>
        <v>2</v>
      </c>
      <c r="AD37" s="7">
        <f t="shared" si="0"/>
        <v>0</v>
      </c>
      <c r="AE37" s="7">
        <f t="shared" si="0"/>
        <v>0</v>
      </c>
      <c r="AF37" s="7">
        <f t="shared" si="0"/>
        <v>3</v>
      </c>
      <c r="AG37" s="7">
        <f t="shared" si="0"/>
        <v>3</v>
      </c>
      <c r="AH37" s="7">
        <f t="shared" si="0"/>
        <v>4</v>
      </c>
      <c r="AI37" s="7">
        <f t="shared" si="0"/>
        <v>4</v>
      </c>
      <c r="AJ37" s="7">
        <f t="shared" si="0"/>
        <v>3</v>
      </c>
      <c r="AK37" s="7">
        <f t="shared" si="0"/>
        <v>0</v>
      </c>
      <c r="AL37" s="7">
        <f t="shared" si="0"/>
        <v>0</v>
      </c>
      <c r="AM37" s="7">
        <f t="shared" si="0"/>
        <v>2</v>
      </c>
      <c r="AN37" s="7">
        <f t="shared" si="0"/>
        <v>1</v>
      </c>
      <c r="AO37" s="7">
        <f t="shared" si="0"/>
        <v>1</v>
      </c>
      <c r="AP37" s="7">
        <f t="shared" si="0"/>
        <v>3</v>
      </c>
      <c r="AQ37" s="7">
        <f t="shared" si="0"/>
        <v>3</v>
      </c>
      <c r="AR37" s="7">
        <f t="shared" si="0"/>
        <v>0</v>
      </c>
      <c r="AS37" s="7">
        <f t="shared" ref="AS37:BX37" si="1">SUM(AS4:AS36)</f>
        <v>0</v>
      </c>
      <c r="AT37" s="7">
        <f t="shared" si="1"/>
        <v>4</v>
      </c>
      <c r="AU37" s="7">
        <f t="shared" si="1"/>
        <v>4</v>
      </c>
      <c r="AV37" s="7">
        <f t="shared" si="1"/>
        <v>4</v>
      </c>
      <c r="AW37" s="7">
        <f t="shared" si="1"/>
        <v>4</v>
      </c>
      <c r="AX37" s="7">
        <f t="shared" si="1"/>
        <v>4</v>
      </c>
      <c r="AY37" s="7">
        <f t="shared" si="1"/>
        <v>0</v>
      </c>
      <c r="AZ37" s="7">
        <f t="shared" si="1"/>
        <v>0</v>
      </c>
      <c r="BA37" s="7">
        <f t="shared" si="1"/>
        <v>4</v>
      </c>
      <c r="BB37" s="7">
        <f t="shared" si="1"/>
        <v>4</v>
      </c>
      <c r="BC37" s="7">
        <f t="shared" si="1"/>
        <v>4</v>
      </c>
      <c r="BD37" s="7">
        <f t="shared" si="1"/>
        <v>4</v>
      </c>
      <c r="BE37" s="7">
        <f t="shared" si="1"/>
        <v>4</v>
      </c>
      <c r="BF37" s="7">
        <f t="shared" si="1"/>
        <v>0</v>
      </c>
      <c r="BG37" s="7">
        <f t="shared" si="1"/>
        <v>0</v>
      </c>
      <c r="BH37" s="7">
        <f t="shared" si="1"/>
        <v>4</v>
      </c>
      <c r="BI37" s="7">
        <f t="shared" si="1"/>
        <v>4</v>
      </c>
      <c r="BJ37" s="7">
        <f t="shared" si="1"/>
        <v>4</v>
      </c>
      <c r="BK37" s="7">
        <f t="shared" si="1"/>
        <v>4</v>
      </c>
      <c r="BL37" s="7">
        <f t="shared" si="1"/>
        <v>4</v>
      </c>
      <c r="BM37" s="7">
        <f t="shared" si="1"/>
        <v>0</v>
      </c>
      <c r="BN37" s="7">
        <f t="shared" si="1"/>
        <v>0</v>
      </c>
      <c r="BO37" s="7">
        <f t="shared" si="1"/>
        <v>3</v>
      </c>
      <c r="BP37" s="7">
        <f t="shared" si="1"/>
        <v>1</v>
      </c>
      <c r="BQ37" s="7">
        <f t="shared" si="1"/>
        <v>1</v>
      </c>
      <c r="BR37" s="7">
        <f t="shared" si="1"/>
        <v>0</v>
      </c>
      <c r="BS37" s="7">
        <f t="shared" si="1"/>
        <v>0</v>
      </c>
      <c r="BT37" s="7">
        <f t="shared" si="1"/>
        <v>0</v>
      </c>
      <c r="BU37" s="7">
        <f t="shared" si="1"/>
        <v>0</v>
      </c>
      <c r="BV37" s="7">
        <f t="shared" si="1"/>
        <v>1</v>
      </c>
      <c r="BW37" s="7">
        <f t="shared" si="1"/>
        <v>1</v>
      </c>
      <c r="BX37" s="7">
        <f t="shared" si="1"/>
        <v>1</v>
      </c>
      <c r="BY37" s="7">
        <f t="shared" ref="BY37:DD37" si="2">SUM(BY4:BY36)</f>
        <v>1</v>
      </c>
      <c r="BZ37" s="7">
        <f t="shared" si="2"/>
        <v>0</v>
      </c>
      <c r="CA37" s="7">
        <f t="shared" si="2"/>
        <v>0</v>
      </c>
      <c r="CB37" s="7">
        <f t="shared" si="2"/>
        <v>0</v>
      </c>
      <c r="CC37" s="7">
        <f t="shared" si="2"/>
        <v>1</v>
      </c>
      <c r="CD37" s="7">
        <f t="shared" si="2"/>
        <v>1</v>
      </c>
      <c r="CE37" s="7">
        <f t="shared" si="2"/>
        <v>1</v>
      </c>
      <c r="CF37" s="7">
        <f t="shared" si="2"/>
        <v>1</v>
      </c>
      <c r="CG37" s="7">
        <f t="shared" si="2"/>
        <v>1</v>
      </c>
      <c r="CH37" s="7">
        <f t="shared" si="2"/>
        <v>0</v>
      </c>
      <c r="CI37" s="7">
        <f t="shared" si="2"/>
        <v>0</v>
      </c>
      <c r="CJ37" s="7">
        <f t="shared" si="2"/>
        <v>2</v>
      </c>
      <c r="CK37" s="7">
        <f t="shared" si="2"/>
        <v>1</v>
      </c>
      <c r="CL37" s="7">
        <f t="shared" si="2"/>
        <v>1</v>
      </c>
      <c r="CM37" s="7">
        <f t="shared" si="2"/>
        <v>1</v>
      </c>
      <c r="CN37" s="7">
        <f t="shared" si="2"/>
        <v>1</v>
      </c>
      <c r="CO37" s="7">
        <f t="shared" si="2"/>
        <v>0</v>
      </c>
      <c r="CP37" s="7">
        <f t="shared" si="2"/>
        <v>0</v>
      </c>
      <c r="CQ37" s="7">
        <f t="shared" si="2"/>
        <v>1</v>
      </c>
      <c r="CR37" s="7">
        <f t="shared" si="2"/>
        <v>1</v>
      </c>
      <c r="CS37" s="7">
        <f t="shared" si="2"/>
        <v>1</v>
      </c>
      <c r="CT37" s="7">
        <f t="shared" si="2"/>
        <v>1</v>
      </c>
      <c r="CU37" s="7">
        <f t="shared" si="2"/>
        <v>1</v>
      </c>
      <c r="CV37" s="7">
        <f t="shared" si="2"/>
        <v>0</v>
      </c>
      <c r="CW37" s="7">
        <f t="shared" si="2"/>
        <v>0</v>
      </c>
      <c r="CX37" s="7">
        <f t="shared" si="2"/>
        <v>1</v>
      </c>
      <c r="CY37" s="7">
        <f t="shared" si="2"/>
        <v>1</v>
      </c>
      <c r="CZ37" s="7">
        <f t="shared" si="2"/>
        <v>0</v>
      </c>
      <c r="DA37" s="7">
        <f t="shared" si="2"/>
        <v>1</v>
      </c>
      <c r="DB37" s="7">
        <f t="shared" si="2"/>
        <v>0</v>
      </c>
      <c r="DC37" s="7">
        <f t="shared" si="2"/>
        <v>0</v>
      </c>
      <c r="DD37" s="51">
        <f t="shared" si="2"/>
        <v>0</v>
      </c>
      <c r="DE37" s="61"/>
    </row>
    <row r="38" spans="2:109" ht="15" thickTop="1" thickBot="1">
      <c r="D38" s="19"/>
      <c r="E38" s="21"/>
      <c r="L38" s="24" t="s">
        <v>142</v>
      </c>
      <c r="M38" s="27">
        <f t="shared" ref="M38:AR38" si="3">M37/$L$37</f>
        <v>0</v>
      </c>
      <c r="N38" s="27">
        <f t="shared" si="3"/>
        <v>0</v>
      </c>
      <c r="O38" s="27">
        <f t="shared" si="3"/>
        <v>0</v>
      </c>
      <c r="P38" s="27">
        <f t="shared" si="3"/>
        <v>0</v>
      </c>
      <c r="Q38" s="27">
        <f t="shared" si="3"/>
        <v>0</v>
      </c>
      <c r="R38" s="27">
        <f t="shared" si="3"/>
        <v>7.6335877862595417E-3</v>
      </c>
      <c r="S38" s="27">
        <f t="shared" si="3"/>
        <v>1.5267175572519083E-2</v>
      </c>
      <c r="T38" s="27">
        <f t="shared" si="3"/>
        <v>1.5267175572519083E-2</v>
      </c>
      <c r="U38" s="27">
        <f t="shared" si="3"/>
        <v>1.5267175572519083E-2</v>
      </c>
      <c r="V38" s="27">
        <f t="shared" si="3"/>
        <v>2.2900763358778626E-2</v>
      </c>
      <c r="W38" s="27">
        <f t="shared" si="3"/>
        <v>0</v>
      </c>
      <c r="X38" s="27">
        <f t="shared" si="3"/>
        <v>0</v>
      </c>
      <c r="Y38" s="27">
        <f t="shared" si="3"/>
        <v>7.6335877862595417E-3</v>
      </c>
      <c r="Z38" s="27">
        <f t="shared" si="3"/>
        <v>7.6335877862595417E-3</v>
      </c>
      <c r="AA38" s="27">
        <f t="shared" si="3"/>
        <v>7.6335877862595417E-3</v>
      </c>
      <c r="AB38" s="27">
        <f t="shared" si="3"/>
        <v>7.6335877862595417E-3</v>
      </c>
      <c r="AC38" s="27">
        <f t="shared" si="3"/>
        <v>1.5267175572519083E-2</v>
      </c>
      <c r="AD38" s="27">
        <f t="shared" si="3"/>
        <v>0</v>
      </c>
      <c r="AE38" s="27">
        <f t="shared" si="3"/>
        <v>0</v>
      </c>
      <c r="AF38" s="27">
        <f t="shared" si="3"/>
        <v>2.2900763358778626E-2</v>
      </c>
      <c r="AG38" s="27">
        <f t="shared" si="3"/>
        <v>2.2900763358778626E-2</v>
      </c>
      <c r="AH38" s="27">
        <f t="shared" si="3"/>
        <v>3.0534351145038167E-2</v>
      </c>
      <c r="AI38" s="27">
        <f t="shared" si="3"/>
        <v>3.0534351145038167E-2</v>
      </c>
      <c r="AJ38" s="27">
        <f t="shared" si="3"/>
        <v>2.2900763358778626E-2</v>
      </c>
      <c r="AK38" s="27">
        <f t="shared" si="3"/>
        <v>0</v>
      </c>
      <c r="AL38" s="27">
        <f t="shared" si="3"/>
        <v>0</v>
      </c>
      <c r="AM38" s="27">
        <f t="shared" si="3"/>
        <v>1.5267175572519083E-2</v>
      </c>
      <c r="AN38" s="27">
        <f t="shared" si="3"/>
        <v>7.6335877862595417E-3</v>
      </c>
      <c r="AO38" s="27">
        <f t="shared" si="3"/>
        <v>7.6335877862595417E-3</v>
      </c>
      <c r="AP38" s="27">
        <f t="shared" si="3"/>
        <v>2.2900763358778626E-2</v>
      </c>
      <c r="AQ38" s="48">
        <f t="shared" si="3"/>
        <v>2.2900763358778626E-2</v>
      </c>
      <c r="AR38" s="27">
        <f t="shared" si="3"/>
        <v>0</v>
      </c>
      <c r="AS38" s="27">
        <f t="shared" ref="AS38:BX38" si="4">AS37/$L$37</f>
        <v>0</v>
      </c>
      <c r="AT38" s="27">
        <f t="shared" si="4"/>
        <v>3.0534351145038167E-2</v>
      </c>
      <c r="AU38" s="27">
        <f t="shared" si="4"/>
        <v>3.0534351145038167E-2</v>
      </c>
      <c r="AV38" s="27">
        <f t="shared" si="4"/>
        <v>3.0534351145038167E-2</v>
      </c>
      <c r="AW38" s="27">
        <f t="shared" si="4"/>
        <v>3.0534351145038167E-2</v>
      </c>
      <c r="AX38" s="27">
        <f t="shared" si="4"/>
        <v>3.0534351145038167E-2</v>
      </c>
      <c r="AY38" s="27">
        <f t="shared" si="4"/>
        <v>0</v>
      </c>
      <c r="AZ38" s="27">
        <f t="shared" si="4"/>
        <v>0</v>
      </c>
      <c r="BA38" s="27">
        <f t="shared" si="4"/>
        <v>3.0534351145038167E-2</v>
      </c>
      <c r="BB38" s="27">
        <f t="shared" si="4"/>
        <v>3.0534351145038167E-2</v>
      </c>
      <c r="BC38" s="27">
        <f t="shared" si="4"/>
        <v>3.0534351145038167E-2</v>
      </c>
      <c r="BD38" s="27">
        <f t="shared" si="4"/>
        <v>3.0534351145038167E-2</v>
      </c>
      <c r="BE38" s="27">
        <f t="shared" si="4"/>
        <v>3.0534351145038167E-2</v>
      </c>
      <c r="BF38" s="27">
        <f t="shared" si="4"/>
        <v>0</v>
      </c>
      <c r="BG38" s="27">
        <f t="shared" si="4"/>
        <v>0</v>
      </c>
      <c r="BH38" s="27">
        <f t="shared" si="4"/>
        <v>3.0534351145038167E-2</v>
      </c>
      <c r="BI38" s="27">
        <f t="shared" si="4"/>
        <v>3.0534351145038167E-2</v>
      </c>
      <c r="BJ38" s="27">
        <f t="shared" si="4"/>
        <v>3.0534351145038167E-2</v>
      </c>
      <c r="BK38" s="27">
        <f t="shared" si="4"/>
        <v>3.0534351145038167E-2</v>
      </c>
      <c r="BL38" s="27">
        <f t="shared" si="4"/>
        <v>3.0534351145038167E-2</v>
      </c>
      <c r="BM38" s="27">
        <f t="shared" si="4"/>
        <v>0</v>
      </c>
      <c r="BN38" s="27">
        <f t="shared" si="4"/>
        <v>0</v>
      </c>
      <c r="BO38" s="27">
        <f t="shared" si="4"/>
        <v>2.2900763358778626E-2</v>
      </c>
      <c r="BP38" s="27">
        <f t="shared" si="4"/>
        <v>7.6335877862595417E-3</v>
      </c>
      <c r="BQ38" s="27">
        <f t="shared" si="4"/>
        <v>7.6335877862595417E-3</v>
      </c>
      <c r="BR38" s="27">
        <f t="shared" si="4"/>
        <v>0</v>
      </c>
      <c r="BS38" s="27">
        <f t="shared" si="4"/>
        <v>0</v>
      </c>
      <c r="BT38" s="27">
        <f t="shared" si="4"/>
        <v>0</v>
      </c>
      <c r="BU38" s="27">
        <f t="shared" si="4"/>
        <v>0</v>
      </c>
      <c r="BV38" s="27">
        <f t="shared" si="4"/>
        <v>7.6335877862595417E-3</v>
      </c>
      <c r="BW38" s="27">
        <f t="shared" si="4"/>
        <v>7.6335877862595417E-3</v>
      </c>
      <c r="BX38" s="27">
        <f t="shared" si="4"/>
        <v>7.6335877862595417E-3</v>
      </c>
      <c r="BY38" s="27">
        <f t="shared" ref="BY38" si="5">BY37/$L$37</f>
        <v>7.6335877862595417E-3</v>
      </c>
      <c r="BZ38" s="27">
        <f t="shared" ref="BZ38:DC38" si="6">BZ37/$L$37</f>
        <v>0</v>
      </c>
      <c r="CA38" s="27">
        <f t="shared" si="6"/>
        <v>0</v>
      </c>
      <c r="CB38" s="27">
        <f t="shared" si="6"/>
        <v>0</v>
      </c>
      <c r="CC38" s="27">
        <f t="shared" si="6"/>
        <v>7.6335877862595417E-3</v>
      </c>
      <c r="CD38" s="27">
        <f t="shared" si="6"/>
        <v>7.6335877862595417E-3</v>
      </c>
      <c r="CE38" s="27">
        <f t="shared" si="6"/>
        <v>7.6335877862595417E-3</v>
      </c>
      <c r="CF38" s="27">
        <f t="shared" si="6"/>
        <v>7.6335877862595417E-3</v>
      </c>
      <c r="CG38" s="27">
        <f t="shared" si="6"/>
        <v>7.6335877862595417E-3</v>
      </c>
      <c r="CH38" s="27">
        <f t="shared" si="6"/>
        <v>0</v>
      </c>
      <c r="CI38" s="27">
        <f t="shared" si="6"/>
        <v>0</v>
      </c>
      <c r="CJ38" s="27">
        <f t="shared" si="6"/>
        <v>1.5267175572519083E-2</v>
      </c>
      <c r="CK38" s="27">
        <f t="shared" si="6"/>
        <v>7.6335877862595417E-3</v>
      </c>
      <c r="CL38" s="27">
        <f t="shared" si="6"/>
        <v>7.6335877862595417E-3</v>
      </c>
      <c r="CM38" s="27">
        <f t="shared" si="6"/>
        <v>7.6335877862595417E-3</v>
      </c>
      <c r="CN38" s="27">
        <f t="shared" si="6"/>
        <v>7.6335877862595417E-3</v>
      </c>
      <c r="CO38" s="27">
        <f t="shared" si="6"/>
        <v>0</v>
      </c>
      <c r="CP38" s="27">
        <f t="shared" si="6"/>
        <v>0</v>
      </c>
      <c r="CQ38" s="27">
        <f t="shared" si="6"/>
        <v>7.6335877862595417E-3</v>
      </c>
      <c r="CR38" s="27">
        <f t="shared" si="6"/>
        <v>7.6335877862595417E-3</v>
      </c>
      <c r="CS38" s="27">
        <f t="shared" si="6"/>
        <v>7.6335877862595417E-3</v>
      </c>
      <c r="CT38" s="27">
        <f t="shared" si="6"/>
        <v>7.6335877862595417E-3</v>
      </c>
      <c r="CU38" s="27">
        <f t="shared" si="6"/>
        <v>7.6335877862595417E-3</v>
      </c>
      <c r="CV38" s="27">
        <f t="shared" si="6"/>
        <v>0</v>
      </c>
      <c r="CW38" s="27">
        <f t="shared" si="6"/>
        <v>0</v>
      </c>
      <c r="CX38" s="27">
        <f t="shared" si="6"/>
        <v>7.6335877862595417E-3</v>
      </c>
      <c r="CY38" s="27">
        <f t="shared" si="6"/>
        <v>7.6335877862595417E-3</v>
      </c>
      <c r="CZ38" s="27">
        <f t="shared" si="6"/>
        <v>0</v>
      </c>
      <c r="DA38" s="27">
        <f t="shared" si="6"/>
        <v>7.6335877862595417E-3</v>
      </c>
      <c r="DB38" s="27">
        <f t="shared" si="6"/>
        <v>0</v>
      </c>
      <c r="DC38" s="27">
        <f t="shared" si="6"/>
        <v>0</v>
      </c>
      <c r="DD38" s="64">
        <f t="shared" ref="DD38" si="7">DD37/$L$37</f>
        <v>0</v>
      </c>
      <c r="DE38" s="62"/>
    </row>
    <row r="39" spans="2:109" ht="16.5">
      <c r="E39"/>
      <c r="L39" s="25" t="s">
        <v>143</v>
      </c>
      <c r="M39" s="28">
        <f>M38</f>
        <v>0</v>
      </c>
      <c r="N39" s="49">
        <f>M39+N38</f>
        <v>0</v>
      </c>
      <c r="O39" s="28">
        <f t="shared" ref="O39" si="8">O38+N39</f>
        <v>0</v>
      </c>
      <c r="P39" s="28">
        <f t="shared" ref="P39" si="9">P38+O39</f>
        <v>0</v>
      </c>
      <c r="Q39" s="28">
        <f t="shared" ref="Q39" si="10">Q38+P39</f>
        <v>0</v>
      </c>
      <c r="R39" s="28">
        <f t="shared" ref="R39" si="11">R38+Q39</f>
        <v>7.6335877862595417E-3</v>
      </c>
      <c r="S39" s="28">
        <f t="shared" ref="S39" si="12">S38+R39</f>
        <v>2.2900763358778626E-2</v>
      </c>
      <c r="T39" s="28">
        <f t="shared" ref="T39" si="13">T38+S39</f>
        <v>3.8167938931297711E-2</v>
      </c>
      <c r="U39" s="28">
        <f t="shared" ref="U39" si="14">U38+T39</f>
        <v>5.3435114503816793E-2</v>
      </c>
      <c r="V39" s="28">
        <f t="shared" ref="V39" si="15">V38+U39</f>
        <v>7.6335877862595422E-2</v>
      </c>
      <c r="W39" s="28">
        <f t="shared" ref="W39" si="16">W38+V39</f>
        <v>7.6335877862595422E-2</v>
      </c>
      <c r="X39" s="28">
        <f t="shared" ref="X39" si="17">X38+W39</f>
        <v>7.6335877862595422E-2</v>
      </c>
      <c r="Y39" s="28">
        <f t="shared" ref="Y39" si="18">Y38+X39</f>
        <v>8.3969465648854963E-2</v>
      </c>
      <c r="Z39" s="28">
        <f t="shared" ref="Z39" si="19">Z38+Y39</f>
        <v>9.1603053435114504E-2</v>
      </c>
      <c r="AA39" s="28">
        <f t="shared" ref="AA39" si="20">AA38+Z39</f>
        <v>9.9236641221374045E-2</v>
      </c>
      <c r="AB39" s="28">
        <f>AB38+AA39</f>
        <v>0.10687022900763359</v>
      </c>
      <c r="AC39" s="28">
        <f t="shared" ref="AC39" si="21">AC38+AB39</f>
        <v>0.12213740458015267</v>
      </c>
      <c r="AD39" s="28">
        <f t="shared" ref="AD39" si="22">AD38+AC39</f>
        <v>0.12213740458015267</v>
      </c>
      <c r="AE39" s="28">
        <f t="shared" ref="AE39" si="23">AE38+AD39</f>
        <v>0.12213740458015267</v>
      </c>
      <c r="AF39" s="28">
        <f t="shared" ref="AF39" si="24">AF38+AE39</f>
        <v>0.14503816793893129</v>
      </c>
      <c r="AG39" s="28">
        <f t="shared" ref="AG39" si="25">AG38+AF39</f>
        <v>0.16793893129770993</v>
      </c>
      <c r="AH39" s="28">
        <f t="shared" ref="AH39" si="26">AH38+AG39</f>
        <v>0.19847328244274809</v>
      </c>
      <c r="AI39" s="28">
        <f t="shared" ref="AI39" si="27">AI38+AH39</f>
        <v>0.22900763358778625</v>
      </c>
      <c r="AJ39" s="28">
        <f t="shared" ref="AJ39" si="28">AJ38+AI39</f>
        <v>0.25190839694656486</v>
      </c>
      <c r="AK39" s="28">
        <f t="shared" ref="AK39" si="29">AK38+AJ39</f>
        <v>0.25190839694656486</v>
      </c>
      <c r="AL39" s="28">
        <f t="shared" ref="AL39" si="30">AL38+AK39</f>
        <v>0.25190839694656486</v>
      </c>
      <c r="AM39" s="28">
        <f t="shared" ref="AM39" si="31">AM38+AL39</f>
        <v>0.26717557251908397</v>
      </c>
      <c r="AN39" s="28">
        <f t="shared" ref="AN39" si="32">AN38+AM39</f>
        <v>0.27480916030534353</v>
      </c>
      <c r="AO39" s="28">
        <f t="shared" ref="AO39" si="33">AO38+AN39</f>
        <v>0.28244274809160308</v>
      </c>
      <c r="AP39" s="46">
        <f t="shared" ref="AP39" si="34">AP38+AO39</f>
        <v>0.30534351145038169</v>
      </c>
      <c r="AQ39" s="28">
        <f t="shared" ref="AQ39" si="35">AQ38+AP39</f>
        <v>0.3282442748091603</v>
      </c>
      <c r="AR39" s="47">
        <f t="shared" ref="AR39" si="36">AR38+AQ39</f>
        <v>0.3282442748091603</v>
      </c>
      <c r="AS39" s="28">
        <f t="shared" ref="AS39" si="37">AS38+AR39</f>
        <v>0.3282442748091603</v>
      </c>
      <c r="AT39" s="28">
        <f t="shared" ref="AT39" si="38">AT38+AS39</f>
        <v>0.35877862595419846</v>
      </c>
      <c r="AU39" s="28">
        <f t="shared" ref="AU39" si="39">AU38+AT39</f>
        <v>0.38931297709923662</v>
      </c>
      <c r="AV39" s="28">
        <f t="shared" ref="AV39" si="40">AV38+AU39</f>
        <v>0.41984732824427479</v>
      </c>
      <c r="AW39" s="28">
        <f t="shared" ref="AW39" si="41">AW38+AV39</f>
        <v>0.45038167938931295</v>
      </c>
      <c r="AX39" s="28">
        <f t="shared" ref="AX39" si="42">AX38+AW39</f>
        <v>0.48091603053435111</v>
      </c>
      <c r="AY39" s="28">
        <f t="shared" ref="AY39" si="43">AY38+AX39</f>
        <v>0.48091603053435111</v>
      </c>
      <c r="AZ39" s="28">
        <f t="shared" ref="AZ39" si="44">AZ38+AY39</f>
        <v>0.48091603053435111</v>
      </c>
      <c r="BA39" s="28">
        <f t="shared" ref="BA39" si="45">BA38+AZ39</f>
        <v>0.51145038167938928</v>
      </c>
      <c r="BB39" s="28">
        <f t="shared" ref="BB39" si="46">BB38+BA39</f>
        <v>0.5419847328244275</v>
      </c>
      <c r="BC39" s="28">
        <f t="shared" ref="BC39" si="47">BC38+BB39</f>
        <v>0.57251908396946571</v>
      </c>
      <c r="BD39" s="28">
        <f t="shared" ref="BD39" si="48">BD38+BC39</f>
        <v>0.60305343511450393</v>
      </c>
      <c r="BE39" s="28">
        <f t="shared" ref="BE39" si="49">BE38+BD39</f>
        <v>0.63358778625954215</v>
      </c>
      <c r="BF39" s="28">
        <f t="shared" ref="BF39" si="50">BF38+BE39</f>
        <v>0.63358778625954215</v>
      </c>
      <c r="BG39" s="28">
        <f t="shared" ref="BG39" si="51">BG38+BF39</f>
        <v>0.63358778625954215</v>
      </c>
      <c r="BH39" s="28">
        <f t="shared" ref="BH39" si="52">BH38+BG39</f>
        <v>0.66412213740458037</v>
      </c>
      <c r="BI39" s="28">
        <f t="shared" ref="BI39" si="53">BI38+BH39</f>
        <v>0.69465648854961859</v>
      </c>
      <c r="BJ39" s="28">
        <f t="shared" ref="BJ39" si="54">BJ38+BI39</f>
        <v>0.72519083969465681</v>
      </c>
      <c r="BK39" s="28">
        <f t="shared" ref="BK39" si="55">BK38+BJ39</f>
        <v>0.75572519083969503</v>
      </c>
      <c r="BL39" s="28">
        <f t="shared" ref="BL39" si="56">BL38+BK39</f>
        <v>0.78625954198473325</v>
      </c>
      <c r="BM39" s="28">
        <f t="shared" ref="BM39" si="57">BM38+BL39</f>
        <v>0.78625954198473325</v>
      </c>
      <c r="BN39" s="28">
        <f t="shared" ref="BN39" si="58">BN38+BM39</f>
        <v>0.78625954198473325</v>
      </c>
      <c r="BO39" s="28">
        <f t="shared" ref="BO39" si="59">BO38+BN39</f>
        <v>0.80916030534351191</v>
      </c>
      <c r="BP39" s="28">
        <f t="shared" ref="BP39" si="60">BP38+BO39</f>
        <v>0.81679389312977146</v>
      </c>
      <c r="BQ39" s="28">
        <f t="shared" ref="BQ39" si="61">BQ38+BP39</f>
        <v>0.82442748091603102</v>
      </c>
      <c r="BR39" s="28">
        <f t="shared" ref="BR39" si="62">BR38+BQ39</f>
        <v>0.82442748091603102</v>
      </c>
      <c r="BS39" s="28">
        <f t="shared" ref="BS39" si="63">BS38+BR39</f>
        <v>0.82442748091603102</v>
      </c>
      <c r="BT39" s="28">
        <f t="shared" ref="BT39" si="64">BT38+BS39</f>
        <v>0.82442748091603102</v>
      </c>
      <c r="BU39" s="28">
        <f t="shared" ref="BU39" si="65">BU38+BT39</f>
        <v>0.82442748091603102</v>
      </c>
      <c r="BV39" s="28">
        <f t="shared" ref="BV39" si="66">BV38+BU39</f>
        <v>0.83206106870229057</v>
      </c>
      <c r="BW39" s="28">
        <f t="shared" ref="BW39" si="67">BW38+BV39</f>
        <v>0.83969465648855013</v>
      </c>
      <c r="BX39" s="28">
        <f t="shared" ref="BX39" si="68">BX38+BW39</f>
        <v>0.84732824427480968</v>
      </c>
      <c r="BY39" s="28">
        <f t="shared" ref="BY39" si="69">BY38+BX39</f>
        <v>0.85496183206106924</v>
      </c>
      <c r="BZ39" s="28">
        <f t="shared" ref="BZ39" si="70">BZ38+BY39</f>
        <v>0.85496183206106924</v>
      </c>
      <c r="CA39" s="28">
        <f t="shared" ref="CA39" si="71">CA38+BZ39</f>
        <v>0.85496183206106924</v>
      </c>
      <c r="CB39" s="28">
        <f t="shared" ref="CB39" si="72">CB38+CA39</f>
        <v>0.85496183206106924</v>
      </c>
      <c r="CC39" s="28">
        <f t="shared" ref="CC39" si="73">CC38+CB39</f>
        <v>0.86259541984732879</v>
      </c>
      <c r="CD39" s="28">
        <f t="shared" ref="CD39" si="74">CD38+CC39</f>
        <v>0.87022900763358835</v>
      </c>
      <c r="CE39" s="28">
        <f t="shared" ref="CE39" si="75">CE38+CD39</f>
        <v>0.8778625954198479</v>
      </c>
      <c r="CF39" s="28">
        <f t="shared" ref="CF39" si="76">CF38+CE39</f>
        <v>0.88549618320610746</v>
      </c>
      <c r="CG39" s="28">
        <f t="shared" ref="CG39" si="77">CG38+CF39</f>
        <v>0.89312977099236701</v>
      </c>
      <c r="CH39" s="28">
        <f t="shared" ref="CH39" si="78">CH38+CG39</f>
        <v>0.89312977099236701</v>
      </c>
      <c r="CI39" s="28">
        <f t="shared" ref="CI39" si="79">CI38+CH39</f>
        <v>0.89312977099236701</v>
      </c>
      <c r="CJ39" s="28">
        <f t="shared" ref="CJ39" si="80">CJ38+CI39</f>
        <v>0.90839694656488612</v>
      </c>
      <c r="CK39" s="28">
        <f t="shared" ref="CK39" si="81">CK38+CJ39</f>
        <v>0.91603053435114568</v>
      </c>
      <c r="CL39" s="28">
        <f t="shared" ref="CL39" si="82">CL38+CK39</f>
        <v>0.92366412213740523</v>
      </c>
      <c r="CM39" s="28">
        <f t="shared" ref="CM39" si="83">CM38+CL39</f>
        <v>0.93129770992366478</v>
      </c>
      <c r="CN39" s="28">
        <f t="shared" ref="CN39" si="84">CN38+CM39</f>
        <v>0.93893129770992434</v>
      </c>
      <c r="CO39" s="28">
        <f t="shared" ref="CO39" si="85">CO38+CN39</f>
        <v>0.93893129770992434</v>
      </c>
      <c r="CP39" s="28">
        <f t="shared" ref="CP39" si="86">CP38+CO39</f>
        <v>0.93893129770992434</v>
      </c>
      <c r="CQ39" s="28">
        <f t="shared" ref="CQ39" si="87">CQ38+CP39</f>
        <v>0.94656488549618389</v>
      </c>
      <c r="CR39" s="28">
        <f t="shared" ref="CR39" si="88">CR38+CQ39</f>
        <v>0.95419847328244345</v>
      </c>
      <c r="CS39" s="28">
        <f t="shared" ref="CS39" si="89">CS38+CR39</f>
        <v>0.961832061068703</v>
      </c>
      <c r="CT39" s="28">
        <f t="shared" ref="CT39" si="90">CT38+CS39</f>
        <v>0.96946564885496256</v>
      </c>
      <c r="CU39" s="28">
        <f t="shared" ref="CU39" si="91">CU38+CT39</f>
        <v>0.97709923664122211</v>
      </c>
      <c r="CV39" s="28">
        <f t="shared" ref="CV39" si="92">CV38+CU39</f>
        <v>0.97709923664122211</v>
      </c>
      <c r="CW39" s="28">
        <f t="shared" ref="CW39" si="93">CW38+CV39</f>
        <v>0.97709923664122211</v>
      </c>
      <c r="CX39" s="28">
        <f t="shared" ref="CX39" si="94">CX38+CW39</f>
        <v>0.98473282442748167</v>
      </c>
      <c r="CY39" s="28">
        <f t="shared" ref="CY39" si="95">CY38+CX39</f>
        <v>0.99236641221374122</v>
      </c>
      <c r="CZ39" s="28">
        <f t="shared" ref="CZ39" si="96">CZ38+CY39</f>
        <v>0.99236641221374122</v>
      </c>
      <c r="DA39" s="28">
        <f t="shared" ref="DA39" si="97">DA38+CZ39</f>
        <v>1.0000000000000007</v>
      </c>
      <c r="DB39" s="28">
        <f t="shared" ref="DB39" si="98">DB38+DA39</f>
        <v>1.0000000000000007</v>
      </c>
      <c r="DC39" s="28">
        <f t="shared" ref="DC39" si="99">DC38+DB39</f>
        <v>1.0000000000000007</v>
      </c>
      <c r="DD39" s="65">
        <f>DC39+DD38</f>
        <v>1.0000000000000007</v>
      </c>
      <c r="DE39" s="63"/>
    </row>
    <row r="40" spans="2:109">
      <c r="E40" s="5"/>
    </row>
    <row r="41" spans="2:109">
      <c r="E41" s="5"/>
    </row>
    <row r="42" spans="2:109">
      <c r="E42" s="5"/>
    </row>
    <row r="43" spans="2:109">
      <c r="E43" s="5"/>
    </row>
    <row r="44" spans="2:109">
      <c r="E44" s="5"/>
      <c r="J44" s="26"/>
    </row>
    <row r="45" spans="2:109">
      <c r="E45" s="5"/>
    </row>
    <row r="46" spans="2:109" s="1" customFormat="1">
      <c r="D46" s="18"/>
      <c r="E46" s="5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  <c r="BH46" s="2"/>
      <c r="BI46" s="2"/>
      <c r="BJ46" s="2"/>
      <c r="BK46" s="2"/>
      <c r="BL46" s="2"/>
      <c r="BM46" s="2"/>
      <c r="BN46" s="2"/>
      <c r="BO46" s="2"/>
      <c r="BP46" s="2"/>
      <c r="BQ46" s="2"/>
      <c r="BR46" s="2"/>
      <c r="BS46" s="2"/>
      <c r="BT46" s="2"/>
      <c r="BU46" s="2"/>
      <c r="BV46" s="2"/>
      <c r="BW46" s="2"/>
      <c r="BX46" s="2"/>
      <c r="BY46" s="2"/>
      <c r="BZ46" s="2"/>
      <c r="CA46" s="2"/>
      <c r="CB46" s="2"/>
      <c r="CC46" s="2"/>
      <c r="CD46" s="2"/>
      <c r="CE46" s="2"/>
      <c r="CF46" s="2"/>
      <c r="CG46" s="2"/>
      <c r="CH46" s="2"/>
      <c r="CI46" s="2"/>
      <c r="CJ46" s="2"/>
      <c r="CK46" s="2"/>
      <c r="CL46" s="2"/>
      <c r="CM46" s="2"/>
      <c r="CN46" s="2"/>
      <c r="CO46" s="2"/>
      <c r="CP46" s="2"/>
      <c r="CQ46" s="2"/>
      <c r="CR46" s="2"/>
      <c r="CS46" s="2"/>
      <c r="CT46" s="2"/>
      <c r="CU46" s="2"/>
      <c r="CV46" s="2"/>
      <c r="CW46" s="2"/>
      <c r="CX46" s="2"/>
      <c r="CY46" s="2"/>
      <c r="CZ46" s="2"/>
      <c r="DA46" s="2"/>
      <c r="DB46" s="2"/>
      <c r="DC46" s="2"/>
      <c r="DD46" s="2"/>
      <c r="DE46" s="2"/>
    </row>
    <row r="47" spans="2:109" s="1" customFormat="1">
      <c r="D47" s="18"/>
      <c r="E47" s="5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2"/>
      <c r="BG47" s="2"/>
      <c r="BH47" s="2"/>
      <c r="BI47" s="2"/>
      <c r="BJ47" s="2"/>
      <c r="BK47" s="2"/>
      <c r="BL47" s="2"/>
      <c r="BM47" s="2"/>
      <c r="BN47" s="2"/>
      <c r="BO47" s="2"/>
      <c r="BP47" s="2"/>
      <c r="BQ47" s="2"/>
      <c r="BR47" s="2"/>
      <c r="BS47" s="2"/>
      <c r="BT47" s="2"/>
      <c r="BU47" s="2"/>
      <c r="BV47" s="2"/>
      <c r="BW47" s="2"/>
      <c r="BX47" s="2"/>
      <c r="BY47" s="2"/>
      <c r="BZ47" s="2"/>
      <c r="CA47" s="2"/>
      <c r="CB47" s="2"/>
      <c r="CC47" s="2"/>
      <c r="CD47" s="2"/>
      <c r="CE47" s="2"/>
      <c r="CF47" s="2"/>
      <c r="CG47" s="2"/>
      <c r="CH47" s="2"/>
      <c r="CI47" s="2"/>
      <c r="CJ47" s="2"/>
      <c r="CK47" s="2"/>
      <c r="CL47" s="2"/>
      <c r="CM47" s="2"/>
      <c r="CN47" s="2"/>
      <c r="CO47" s="2"/>
      <c r="CP47" s="2"/>
      <c r="CQ47" s="2"/>
      <c r="CR47" s="2"/>
      <c r="CS47" s="2"/>
      <c r="CT47" s="2"/>
      <c r="CU47" s="2"/>
      <c r="CV47" s="2"/>
      <c r="CW47" s="2"/>
      <c r="CX47" s="2"/>
      <c r="CY47" s="2"/>
      <c r="CZ47" s="2"/>
      <c r="DA47" s="2"/>
      <c r="DB47" s="2"/>
      <c r="DC47" s="2"/>
      <c r="DD47" s="2"/>
      <c r="DE47" s="2"/>
    </row>
    <row r="48" spans="2:109" s="1" customFormat="1">
      <c r="D48" s="18"/>
      <c r="E48" s="5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  <c r="BE48" s="2"/>
      <c r="BF48" s="2"/>
      <c r="BG48" s="2"/>
      <c r="BH48" s="2"/>
      <c r="BI48" s="2"/>
      <c r="BJ48" s="2"/>
      <c r="BK48" s="2"/>
      <c r="BL48" s="2"/>
      <c r="BM48" s="2"/>
      <c r="BN48" s="2"/>
      <c r="BO48" s="2"/>
      <c r="BP48" s="2"/>
      <c r="BQ48" s="2"/>
      <c r="BR48" s="2"/>
      <c r="BS48" s="2"/>
      <c r="BT48" s="2"/>
      <c r="BU48" s="2"/>
      <c r="BV48" s="2"/>
      <c r="BW48" s="2"/>
      <c r="BX48" s="2"/>
      <c r="BY48" s="2"/>
      <c r="BZ48" s="2"/>
      <c r="CA48" s="2"/>
      <c r="CB48" s="2"/>
      <c r="CC48" s="2"/>
      <c r="CD48" s="2"/>
      <c r="CE48" s="2"/>
      <c r="CF48" s="2"/>
      <c r="CG48" s="2"/>
      <c r="CH48" s="2"/>
      <c r="CI48" s="2"/>
      <c r="CJ48" s="2"/>
      <c r="CK48" s="2"/>
      <c r="CL48" s="2"/>
      <c r="CM48" s="2"/>
      <c r="CN48" s="2"/>
      <c r="CO48" s="2"/>
      <c r="CP48" s="2"/>
      <c r="CQ48" s="2"/>
      <c r="CR48" s="2"/>
      <c r="CS48" s="2"/>
      <c r="CT48" s="2"/>
      <c r="CU48" s="2"/>
      <c r="CV48" s="2"/>
      <c r="CW48" s="2"/>
      <c r="CX48" s="2"/>
      <c r="CY48" s="2"/>
      <c r="CZ48" s="2"/>
      <c r="DA48" s="2"/>
      <c r="DB48" s="2"/>
      <c r="DC48" s="2"/>
      <c r="DD48" s="2"/>
      <c r="DE48" s="2"/>
    </row>
    <row r="49" spans="4:109" s="1" customFormat="1">
      <c r="D49" s="18"/>
      <c r="E49" s="5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  <c r="BE49" s="2"/>
      <c r="BF49" s="2"/>
      <c r="BG49" s="2"/>
      <c r="BH49" s="2"/>
      <c r="BI49" s="2"/>
      <c r="BJ49" s="2"/>
      <c r="BK49" s="2"/>
      <c r="BL49" s="2"/>
      <c r="BM49" s="2"/>
      <c r="BN49" s="2"/>
      <c r="BO49" s="2"/>
      <c r="BP49" s="2"/>
      <c r="BQ49" s="2"/>
      <c r="BR49" s="2"/>
      <c r="BS49" s="2"/>
      <c r="BT49" s="2"/>
      <c r="BU49" s="2"/>
      <c r="BV49" s="2"/>
      <c r="BW49" s="2"/>
      <c r="BX49" s="2"/>
      <c r="BY49" s="2"/>
      <c r="BZ49" s="2"/>
      <c r="CA49" s="2"/>
      <c r="CB49" s="2"/>
      <c r="CC49" s="2"/>
      <c r="CD49" s="2"/>
      <c r="CE49" s="2"/>
      <c r="CF49" s="2"/>
      <c r="CG49" s="2"/>
      <c r="CH49" s="2"/>
      <c r="CI49" s="2"/>
      <c r="CJ49" s="2"/>
      <c r="CK49" s="2"/>
      <c r="CL49" s="2"/>
      <c r="CM49" s="2"/>
      <c r="CN49" s="2"/>
      <c r="CO49" s="2"/>
      <c r="CP49" s="2"/>
      <c r="CQ49" s="2"/>
      <c r="CR49" s="2"/>
      <c r="CS49" s="2"/>
      <c r="CT49" s="2"/>
      <c r="CU49" s="2"/>
      <c r="CV49" s="2"/>
      <c r="CW49" s="2"/>
      <c r="CX49" s="2"/>
      <c r="CY49" s="2"/>
      <c r="CZ49" s="2"/>
      <c r="DA49" s="2"/>
      <c r="DB49" s="2"/>
      <c r="DC49" s="2"/>
      <c r="DD49" s="2"/>
      <c r="DE49" s="2"/>
    </row>
    <row r="50" spans="4:109" s="1" customFormat="1">
      <c r="D50" s="18"/>
      <c r="E50" s="5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  <c r="BE50" s="2"/>
      <c r="BF50" s="2"/>
      <c r="BG50" s="2"/>
      <c r="BH50" s="2"/>
      <c r="BI50" s="2"/>
      <c r="BJ50" s="2"/>
      <c r="BK50" s="2"/>
      <c r="BL50" s="2"/>
      <c r="BM50" s="2"/>
      <c r="BN50" s="2"/>
      <c r="BO50" s="2"/>
      <c r="BP50" s="2"/>
      <c r="BQ50" s="2"/>
      <c r="BR50" s="2"/>
      <c r="BS50" s="2"/>
      <c r="BT50" s="2"/>
      <c r="BU50" s="2"/>
      <c r="BV50" s="2"/>
      <c r="BW50" s="2"/>
      <c r="BX50" s="2"/>
      <c r="BY50" s="2"/>
      <c r="BZ50" s="2"/>
      <c r="CA50" s="2"/>
      <c r="CB50" s="2"/>
      <c r="CC50" s="2"/>
      <c r="CD50" s="2"/>
      <c r="CE50" s="2"/>
      <c r="CF50" s="2"/>
      <c r="CG50" s="2"/>
      <c r="CH50" s="2"/>
      <c r="CI50" s="2"/>
      <c r="CJ50" s="2"/>
      <c r="CK50" s="2"/>
      <c r="CL50" s="2"/>
      <c r="CM50" s="2"/>
      <c r="CN50" s="2"/>
      <c r="CO50" s="2"/>
      <c r="CP50" s="2"/>
      <c r="CQ50" s="2"/>
      <c r="CR50" s="2"/>
      <c r="CS50" s="2"/>
      <c r="CT50" s="2"/>
      <c r="CU50" s="2"/>
      <c r="CV50" s="2"/>
      <c r="CW50" s="2"/>
      <c r="CX50" s="2"/>
      <c r="CY50" s="2"/>
      <c r="CZ50" s="2"/>
      <c r="DA50" s="2"/>
      <c r="DB50" s="2"/>
      <c r="DC50" s="2"/>
      <c r="DD50" s="2"/>
      <c r="DE50" s="2"/>
    </row>
    <row r="51" spans="4:109" s="1" customFormat="1">
      <c r="D51" s="18"/>
      <c r="E51" s="5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  <c r="BE51" s="2"/>
      <c r="BF51" s="2"/>
      <c r="BG51" s="2"/>
      <c r="BH51" s="2"/>
      <c r="BI51" s="2"/>
      <c r="BJ51" s="2"/>
      <c r="BK51" s="2"/>
      <c r="BL51" s="2"/>
      <c r="BM51" s="2"/>
      <c r="BN51" s="2"/>
      <c r="BO51" s="2"/>
      <c r="BP51" s="2"/>
      <c r="BQ51" s="2"/>
      <c r="BR51" s="2"/>
      <c r="BS51" s="2"/>
      <c r="BT51" s="2"/>
      <c r="BU51" s="2"/>
      <c r="BV51" s="2"/>
      <c r="BW51" s="2"/>
      <c r="BX51" s="2"/>
      <c r="BY51" s="2"/>
      <c r="BZ51" s="2"/>
      <c r="CA51" s="2"/>
      <c r="CB51" s="2"/>
      <c r="CC51" s="2"/>
      <c r="CD51" s="2"/>
      <c r="CE51" s="2"/>
      <c r="CF51" s="2"/>
      <c r="CG51" s="2"/>
      <c r="CH51" s="2"/>
      <c r="CI51" s="2"/>
      <c r="CJ51" s="2"/>
      <c r="CK51" s="2"/>
      <c r="CL51" s="2"/>
      <c r="CM51" s="2"/>
      <c r="CN51" s="2"/>
      <c r="CO51" s="2"/>
      <c r="CP51" s="2"/>
      <c r="CQ51" s="2"/>
      <c r="CR51" s="2"/>
      <c r="CS51" s="2"/>
      <c r="CT51" s="2"/>
      <c r="CU51" s="2"/>
      <c r="CV51" s="2"/>
      <c r="CW51" s="2"/>
      <c r="CX51" s="2"/>
      <c r="CY51" s="2"/>
      <c r="CZ51" s="2"/>
      <c r="DA51" s="2"/>
      <c r="DB51" s="2"/>
      <c r="DC51" s="2"/>
      <c r="DD51" s="2"/>
      <c r="DE51" s="2"/>
    </row>
    <row r="52" spans="4:109" s="1" customFormat="1">
      <c r="D52" s="18"/>
      <c r="E52" s="5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  <c r="BE52" s="2"/>
      <c r="BF52" s="2"/>
      <c r="BG52" s="2"/>
      <c r="BH52" s="2"/>
      <c r="BI52" s="2"/>
      <c r="BJ52" s="2"/>
      <c r="BK52" s="2"/>
      <c r="BL52" s="2"/>
      <c r="BM52" s="2"/>
      <c r="BN52" s="2"/>
      <c r="BO52" s="2"/>
      <c r="BP52" s="2"/>
      <c r="BQ52" s="2"/>
      <c r="BR52" s="2"/>
      <c r="BS52" s="2"/>
      <c r="BT52" s="2"/>
      <c r="BU52" s="2"/>
      <c r="BV52" s="2"/>
      <c r="BW52" s="2"/>
      <c r="BX52" s="2"/>
      <c r="BY52" s="2"/>
      <c r="BZ52" s="2"/>
      <c r="CA52" s="2"/>
      <c r="CB52" s="2"/>
      <c r="CC52" s="2"/>
      <c r="CD52" s="2"/>
      <c r="CE52" s="2"/>
      <c r="CF52" s="2"/>
      <c r="CG52" s="2"/>
      <c r="CH52" s="2"/>
      <c r="CI52" s="2"/>
      <c r="CJ52" s="2"/>
      <c r="CK52" s="2"/>
      <c r="CL52" s="2"/>
      <c r="CM52" s="2"/>
      <c r="CN52" s="2"/>
      <c r="CO52" s="2"/>
      <c r="CP52" s="2"/>
      <c r="CQ52" s="2"/>
      <c r="CR52" s="2"/>
      <c r="CS52" s="2"/>
      <c r="CT52" s="2"/>
      <c r="CU52" s="2"/>
      <c r="CV52" s="2"/>
      <c r="CW52" s="2"/>
      <c r="CX52" s="2"/>
      <c r="CY52" s="2"/>
      <c r="CZ52" s="2"/>
      <c r="DA52" s="2"/>
      <c r="DB52" s="2"/>
      <c r="DC52" s="2"/>
      <c r="DD52" s="2"/>
      <c r="DE52" s="2"/>
    </row>
    <row r="53" spans="4:109" s="1" customFormat="1">
      <c r="D53" s="18"/>
      <c r="E53" s="5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  <c r="BE53" s="2"/>
      <c r="BF53" s="2"/>
      <c r="BG53" s="2"/>
      <c r="BH53" s="2"/>
      <c r="BI53" s="2"/>
      <c r="BJ53" s="2"/>
      <c r="BK53" s="2"/>
      <c r="BL53" s="2"/>
      <c r="BM53" s="2"/>
      <c r="BN53" s="2"/>
      <c r="BO53" s="2"/>
      <c r="BP53" s="2"/>
      <c r="BQ53" s="2"/>
      <c r="BR53" s="2"/>
      <c r="BS53" s="2"/>
      <c r="BT53" s="2"/>
      <c r="BU53" s="2"/>
      <c r="BV53" s="2"/>
      <c r="BW53" s="2"/>
      <c r="BX53" s="2"/>
      <c r="BY53" s="2"/>
      <c r="BZ53" s="2"/>
      <c r="CA53" s="2"/>
      <c r="CB53" s="2"/>
      <c r="CC53" s="2"/>
      <c r="CD53" s="2"/>
      <c r="CE53" s="2"/>
      <c r="CF53" s="2"/>
      <c r="CG53" s="2"/>
      <c r="CH53" s="2"/>
      <c r="CI53" s="2"/>
      <c r="CJ53" s="2"/>
      <c r="CK53" s="2"/>
      <c r="CL53" s="2"/>
      <c r="CM53" s="2"/>
      <c r="CN53" s="2"/>
      <c r="CO53" s="2"/>
      <c r="CP53" s="2"/>
      <c r="CQ53" s="2"/>
      <c r="CR53" s="2"/>
      <c r="CS53" s="2"/>
      <c r="CT53" s="2"/>
      <c r="CU53" s="2"/>
      <c r="CV53" s="2"/>
      <c r="CW53" s="2"/>
      <c r="CX53" s="2"/>
      <c r="CY53" s="2"/>
      <c r="CZ53" s="2"/>
      <c r="DA53" s="2"/>
      <c r="DB53" s="2"/>
      <c r="DC53" s="2"/>
      <c r="DD53" s="2"/>
      <c r="DE53" s="2"/>
    </row>
  </sheetData>
  <mergeCells count="9">
    <mergeCell ref="B15:B32"/>
    <mergeCell ref="B33:B36"/>
    <mergeCell ref="BZ2:DC2"/>
    <mergeCell ref="B9:B14"/>
    <mergeCell ref="AU2:BY2"/>
    <mergeCell ref="B4:B8"/>
    <mergeCell ref="B1:L2"/>
    <mergeCell ref="M2:P2"/>
    <mergeCell ref="Q2:AT2"/>
  </mergeCells>
  <phoneticPr fontId="5" type="noConversion"/>
  <conditionalFormatting sqref="H4:H15 H18:H33 H35:H36">
    <cfRule type="cellIs" dxfId="0" priority="1" operator="equal">
      <formula>"제외"</formula>
    </cfRule>
  </conditionalFormatting>
  <dataValidations count="1">
    <dataValidation type="list" allowBlank="1" showInputMessage="1" showErrorMessage="1" sqref="H4:H15 H18:H33 H35:H36" xr:uid="{91E8178E-10CC-42BE-94B9-1928D1E6692E}">
      <formula1>"진행중, 완료, 취소, 제외, 기타"</formula1>
    </dataValidation>
  </dataValidations>
  <pageMargins left="0.25" right="0.25" top="0.75" bottom="0.75" header="0.3" footer="0.3"/>
  <pageSetup paperSize="9" scale="89" fitToWidth="0" orientation="landscape" r:id="rId1"/>
  <headerFooter>
    <oddHeader>&amp;R&amp;"Calibri"&amp;9&amp;K000000 [Confidential] 본 문서는 TDG의 소유입니다.&amp;1#_x000D_</oddHeader>
    <oddFooter>&amp;R_x000D_&amp;1#&amp;"Calibri"&amp;9&amp;K000000 김종익 | TD-STD-R02_(WBS_일반엑셀) Azure Landing Zone 구축_v0.1.xlsx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E18"/>
  <sheetViews>
    <sheetView zoomScale="115" zoomScaleNormal="115" workbookViewId="0">
      <selection activeCell="C9" sqref="C9"/>
    </sheetView>
  </sheetViews>
  <sheetFormatPr defaultColWidth="9" defaultRowHeight="16.5"/>
  <cols>
    <col min="1" max="1" width="1" style="30" customWidth="1"/>
    <col min="2" max="2" width="6.375" style="30" customWidth="1"/>
    <col min="3" max="3" width="40.625" style="30" bestFit="1" customWidth="1"/>
    <col min="4" max="4" width="66.875" style="30" bestFit="1" customWidth="1"/>
    <col min="5" max="5" width="31.25" style="30" customWidth="1"/>
    <col min="6" max="16384" width="9" style="30"/>
  </cols>
  <sheetData>
    <row r="1" spans="2:5" ht="17.25" thickBot="1"/>
    <row r="2" spans="2:5" ht="17.25" thickBot="1">
      <c r="B2" s="43" t="s">
        <v>144</v>
      </c>
      <c r="C2" s="44" t="s">
        <v>145</v>
      </c>
      <c r="D2" s="44" t="s">
        <v>146</v>
      </c>
      <c r="E2" s="45" t="s">
        <v>147</v>
      </c>
    </row>
    <row r="3" spans="2:5">
      <c r="B3" s="41">
        <v>1</v>
      </c>
      <c r="C3" s="42" t="s">
        <v>148</v>
      </c>
      <c r="D3" s="42" t="s">
        <v>149</v>
      </c>
      <c r="E3" s="157" t="s">
        <v>150</v>
      </c>
    </row>
    <row r="4" spans="2:5">
      <c r="B4" s="31">
        <v>2</v>
      </c>
      <c r="C4" s="33" t="s">
        <v>151</v>
      </c>
      <c r="D4" s="33" t="s">
        <v>152</v>
      </c>
      <c r="E4" s="158" t="s">
        <v>153</v>
      </c>
    </row>
    <row r="5" spans="2:5">
      <c r="B5" s="31">
        <v>3</v>
      </c>
      <c r="C5" s="33" t="s">
        <v>154</v>
      </c>
      <c r="D5" s="33" t="s">
        <v>155</v>
      </c>
      <c r="E5" s="158" t="s">
        <v>156</v>
      </c>
    </row>
    <row r="6" spans="2:5">
      <c r="B6" s="31">
        <v>4</v>
      </c>
      <c r="C6" s="33" t="s">
        <v>157</v>
      </c>
      <c r="D6" s="33" t="s">
        <v>158</v>
      </c>
      <c r="E6" s="158" t="s">
        <v>159</v>
      </c>
    </row>
    <row r="7" spans="2:5">
      <c r="B7" s="31">
        <v>5</v>
      </c>
      <c r="C7" s="33"/>
      <c r="D7" s="33"/>
      <c r="E7" s="158"/>
    </row>
    <row r="8" spans="2:5">
      <c r="B8" s="31">
        <v>6</v>
      </c>
      <c r="C8" s="33"/>
      <c r="D8" s="33"/>
      <c r="E8" s="158"/>
    </row>
    <row r="9" spans="2:5">
      <c r="B9" s="31">
        <v>7</v>
      </c>
      <c r="C9" s="32"/>
      <c r="D9" s="33"/>
      <c r="E9" s="34"/>
    </row>
    <row r="10" spans="2:5">
      <c r="B10" s="31">
        <v>8</v>
      </c>
      <c r="C10" s="32"/>
      <c r="D10" s="32"/>
      <c r="E10" s="34"/>
    </row>
    <row r="11" spans="2:5">
      <c r="B11" s="31">
        <v>9</v>
      </c>
      <c r="C11" s="32"/>
      <c r="D11" s="33"/>
      <c r="E11" s="34"/>
    </row>
    <row r="12" spans="2:5">
      <c r="B12" s="31">
        <v>10</v>
      </c>
      <c r="C12" s="32"/>
      <c r="D12" s="33"/>
      <c r="E12" s="34"/>
    </row>
    <row r="13" spans="2:5">
      <c r="B13" s="31">
        <v>11</v>
      </c>
      <c r="C13" s="32"/>
      <c r="D13" s="33"/>
      <c r="E13" s="34"/>
    </row>
    <row r="14" spans="2:5">
      <c r="B14" s="31">
        <v>12</v>
      </c>
      <c r="C14" s="35"/>
      <c r="D14" s="36"/>
      <c r="E14" s="34"/>
    </row>
    <row r="15" spans="2:5">
      <c r="B15" s="31">
        <v>13</v>
      </c>
      <c r="C15" s="32"/>
      <c r="D15" s="32"/>
      <c r="E15" s="34"/>
    </row>
    <row r="16" spans="2:5" ht="17.25" thickBot="1">
      <c r="B16" s="37">
        <v>14</v>
      </c>
      <c r="C16" s="38"/>
      <c r="D16" s="39"/>
      <c r="E16" s="40"/>
    </row>
    <row r="17" spans="3:4">
      <c r="C17" s="29"/>
      <c r="D17" s="29"/>
    </row>
    <row r="18" spans="3:4">
      <c r="C18" s="29"/>
      <c r="D18" s="29"/>
    </row>
  </sheetData>
  <phoneticPr fontId="5" type="noConversion"/>
  <pageMargins left="0.7" right="0.7" top="0.75" bottom="0.75" header="0.3" footer="0.3"/>
  <pageSetup paperSize="9" orientation="portrait" r:id="rId1"/>
  <headerFooter>
    <oddHeader>&amp;R&amp;"Calibri"&amp;9&amp;K000000 [Confidential] 본 문서는 TDG의 소유입니다.&amp;1#_x000D_</oddHeader>
    <oddFooter>&amp;R_x000D_&amp;1#&amp;"Calibri"&amp;9&amp;K000000 김종익 | TD-STD-R02_(WBS_일반엑셀) Azure Landing Zone 구축_v0.1.xlsx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문서" ma:contentTypeID="0x010100CE27F743D3EAFD41AFB548FE852C7C33" ma:contentTypeVersion="10" ma:contentTypeDescription="새 문서를 만듭니다." ma:contentTypeScope="" ma:versionID="83f620055764ca63febe832f5488a59e">
  <xsd:schema xmlns:xsd="http://www.w3.org/2001/XMLSchema" xmlns:xs="http://www.w3.org/2001/XMLSchema" xmlns:p="http://schemas.microsoft.com/office/2006/metadata/properties" xmlns:ns2="52c3670c-f3f0-41a0-a704-ac55a3995e6d" xmlns:ns3="40b12f69-f76e-454b-9ccb-15c80c1b12a7" targetNamespace="http://schemas.microsoft.com/office/2006/metadata/properties" ma:root="true" ma:fieldsID="25404c37872c48d66048b890b4017f46" ns2:_="" ns3:_="">
    <xsd:import namespace="52c3670c-f3f0-41a0-a704-ac55a3995e6d"/>
    <xsd:import namespace="40b12f69-f76e-454b-9ccb-15c80c1b12a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2c3670c-f3f0-41a0-a704-ac55a3995e6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이미지 태그" ma:readOnly="false" ma:fieldId="{5cf76f15-5ced-4ddc-b409-7134ff3c332f}" ma:taxonomyMulti="true" ma:sspId="f7524157-e22f-4f12-9d7c-40ce4f38874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0b12f69-f76e-454b-9ccb-15c80c1b12a7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078a925b-81ad-45f4-88e8-c0b5a0895b6d}" ma:internalName="TaxCatchAll" ma:showField="CatchAllData" ma:web="40b12f69-f76e-454b-9ccb-15c80c1b12a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콘텐츠 형식"/>
        <xsd:element ref="dc:title" minOccurs="0" maxOccurs="1" ma:index="4" ma:displayName="제목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52c3670c-f3f0-41a0-a704-ac55a3995e6d">
      <Terms xmlns="http://schemas.microsoft.com/office/infopath/2007/PartnerControls"/>
    </lcf76f155ced4ddcb4097134ff3c332f>
    <TaxCatchAll xmlns="40b12f69-f76e-454b-9ccb-15c80c1b12a7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531B7AC9-28EE-4D42-98B0-8A62730EC0AA}"/>
</file>

<file path=customXml/itemProps2.xml><?xml version="1.0" encoding="utf-8"?>
<ds:datastoreItem xmlns:ds="http://schemas.openxmlformats.org/officeDocument/2006/customXml" ds:itemID="{C48D89B9-C41B-4924-B967-9FEEBD00F7AD}"/>
</file>

<file path=customXml/itemProps3.xml><?xml version="1.0" encoding="utf-8"?>
<ds:datastoreItem xmlns:ds="http://schemas.openxmlformats.org/officeDocument/2006/customXml" ds:itemID="{F2D4A4E6-BD34-4CE4-A466-793F57DB0D1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고은석</cp:lastModifiedBy>
  <cp:revision/>
  <dcterms:created xsi:type="dcterms:W3CDTF">2006-09-16T00:00:00Z</dcterms:created>
  <dcterms:modified xsi:type="dcterms:W3CDTF">2026-10-28T05:08:23Z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0x010100CE27F743D3EAFD41AFB548FE852C7C33</vt:lpwstr>
  </property>
  <property fmtid="{D5CDD505-2E9C-101B-9397-08002B2CF9AE}" pid="3" name="MSIP_Label_8a7ee6f8-8cc4-4aa6-ade4-2236ec909272_Enabled">
    <vt:lpwstr>true</vt:lpwstr>
  </property>
  <property fmtid="{D5CDD505-2E9C-101B-9397-08002B2CF9AE}" pid="4" name="MSIP_Label_8a7ee6f8-8cc4-4aa6-ade4-2236ec909272_SetDate">
    <vt:lpwstr>2026-10-28T05:05:24Z</vt:lpwstr>
  </property>
  <property fmtid="{D5CDD505-2E9C-101B-9397-08002B2CF9AE}" pid="5" name="MSIP_Label_8a7ee6f8-8cc4-4aa6-ade4-2236ec909272_Method">
    <vt:lpwstr>Standard</vt:lpwstr>
  </property>
  <property fmtid="{D5CDD505-2E9C-101B-9397-08002B2CF9AE}" pid="6" name="MSIP_Label_8a7ee6f8-8cc4-4aa6-ade4-2236ec909272_Name">
    <vt:lpwstr>Confidential-unlock</vt:lpwstr>
  </property>
  <property fmtid="{D5CDD505-2E9C-101B-9397-08002B2CF9AE}" pid="7" name="MSIP_Label_8a7ee6f8-8cc4-4aa6-ade4-2236ec909272_SiteId">
    <vt:lpwstr>6144959d-620b-4d3d-9090-c4891f1914ce</vt:lpwstr>
  </property>
  <property fmtid="{D5CDD505-2E9C-101B-9397-08002B2CF9AE}" pid="8" name="MSIP_Label_8a7ee6f8-8cc4-4aa6-ade4-2236ec909272_ActionId">
    <vt:lpwstr>fe7c2457-638d-4f64-8036-e696ecc07435</vt:lpwstr>
  </property>
  <property fmtid="{D5CDD505-2E9C-101B-9397-08002B2CF9AE}" pid="9" name="MSIP_Label_8a7ee6f8-8cc4-4aa6-ade4-2236ec909272_ContentBits">
    <vt:lpwstr>0</vt:lpwstr>
  </property>
</Properties>
</file>